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iyanshi Paul\Desktop\repo_export\docs\"/>
    </mc:Choice>
  </mc:AlternateContent>
  <xr:revisionPtr revIDLastSave="0" documentId="13_ncr:1_{DEDB3F3E-D3E8-44E7-9EA5-9BCB36662DE0}" xr6:coauthVersionLast="47" xr6:coauthVersionMax="47" xr10:uidLastSave="{00000000-0000-0000-0000-000000000000}"/>
  <bookViews>
    <workbookView xWindow="1060" yWindow="1060" windowWidth="14400" windowHeight="7270" tabRatio="500" xr2:uid="{00000000-000D-0000-FFFF-FFFF00000000}"/>
  </bookViews>
  <sheets>
    <sheet name="README" sheetId="1" r:id="rId1"/>
    <sheet name="Tab_A_Buy" sheetId="2" r:id="rId2"/>
    <sheet name="Tab_B_Build" sheetId="3" r:id="rId3"/>
    <sheet name="Vocabulary" sheetId="4" r:id="rId4"/>
    <sheet name="Assumptions" sheetId="5" r:id="rId5"/>
    <sheet name="Build_Model" sheetId="6" r:id="rId6"/>
    <sheet name="Sensitivity" sheetId="7" r:id="rId7"/>
    <sheet name="Source_Log" sheetId="8" r:id="rId8"/>
    <sheet name="Conflicts" sheetId="9" r:id="rId9"/>
    <sheet name="Claims_Log" sheetId="10" r:id="rId10"/>
    <sheet name="AR_Mentions" sheetId="11" r:id="rId11"/>
    <sheet name="Base_Rates" sheetId="12" r:id="rId12"/>
    <sheet name="Framework_Scores" sheetId="13" r:id="rId13"/>
  </sheets>
  <definedNames>
    <definedName name="_xlnm._FilterDatabase" localSheetId="10" hidden="1">AR_Mentions!$A$1:$J$204</definedName>
    <definedName name="_xlnm._FilterDatabase" localSheetId="4" hidden="1">Assumptions!$A$1:$M$26</definedName>
    <definedName name="_xlnm._FilterDatabase" localSheetId="11" hidden="1">Base_Rates!$A$1:$H$5</definedName>
    <definedName name="_xlnm._FilterDatabase" localSheetId="9" hidden="1">Claims_Log!$A$1:$G$73</definedName>
    <definedName name="_xlnm._FilterDatabase" localSheetId="12" hidden="1">Framework_Scores!$A$1:$N$61</definedName>
    <definedName name="_xlnm._FilterDatabase" localSheetId="7" hidden="1">Source_Log!$A$1:$H$217</definedName>
    <definedName name="_xlnm._FilterDatabase" localSheetId="1" hidden="1">Tab_A_Buy!$A$1:$V$32</definedName>
    <definedName name="_xlnm._FilterDatabase" localSheetId="2" hidden="1">Tab_B_Build!$A$1:$W$30</definedName>
    <definedName name="_xlnm._FilterDatabase" localSheetId="3" hidden="1">Vocabulary!$A$1:$D$31</definedName>
    <definedName name="_xlnm.Print_Titles" localSheetId="10">AR_Mentions!$1:$1</definedName>
    <definedName name="_xlnm.Print_Titles" localSheetId="4">Assumptions!$1:$1</definedName>
    <definedName name="_xlnm.Print_Titles" localSheetId="11">Base_Rates!$1:$1</definedName>
    <definedName name="_xlnm.Print_Titles" localSheetId="9">Claims_Log!$1:$1</definedName>
    <definedName name="_xlnm.Print_Titles" localSheetId="12">Framework_Scores!$1:$1</definedName>
    <definedName name="_xlnm.Print_Titles" localSheetId="7">Source_Log!$1:$1</definedName>
    <definedName name="_xlnm.Print_Titles" localSheetId="1">Tab_A_Buy!$1:$1</definedName>
    <definedName name="_xlnm.Print_Titles" localSheetId="2">Tab_B_Build!$1:$1</definedName>
    <definedName name="_xlnm.Print_Titles" localSheetId="3">Vocabulary!$1:$1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2" l="1"/>
  <c r="D4" i="12"/>
  <c r="D3" i="12"/>
  <c r="D2" i="12"/>
  <c r="C310" i="7"/>
  <c r="C305" i="7"/>
  <c r="C304" i="7"/>
  <c r="C303" i="7"/>
  <c r="C298" i="7"/>
  <c r="C265" i="7"/>
  <c r="C260" i="7"/>
  <c r="C262" i="7" s="1"/>
  <c r="C259" i="7"/>
  <c r="C258" i="7"/>
  <c r="C253" i="7"/>
  <c r="C220" i="7"/>
  <c r="C215" i="7"/>
  <c r="C214" i="7"/>
  <c r="C213" i="7"/>
  <c r="C208" i="7"/>
  <c r="C175" i="7"/>
  <c r="C170" i="7"/>
  <c r="C169" i="7"/>
  <c r="C171" i="7" s="1"/>
  <c r="C168" i="7"/>
  <c r="C163" i="7"/>
  <c r="C130" i="7"/>
  <c r="C125" i="7"/>
  <c r="C127" i="7" s="1"/>
  <c r="C124" i="7"/>
  <c r="C126" i="7" s="1"/>
  <c r="C123" i="7"/>
  <c r="C118" i="7"/>
  <c r="C85" i="7"/>
  <c r="C80" i="7"/>
  <c r="C79" i="7"/>
  <c r="C78" i="7"/>
  <c r="C73" i="7"/>
  <c r="C40" i="7"/>
  <c r="C35" i="7"/>
  <c r="C34" i="7"/>
  <c r="C33" i="7"/>
  <c r="C28" i="7"/>
  <c r="B14" i="7"/>
  <c r="C107" i="6"/>
  <c r="C102" i="6"/>
  <c r="C101" i="6"/>
  <c r="C103" i="6" s="1"/>
  <c r="C100" i="6"/>
  <c r="C62" i="6"/>
  <c r="C57" i="6"/>
  <c r="C56" i="6"/>
  <c r="C55" i="6"/>
  <c r="C17" i="6"/>
  <c r="C12" i="6"/>
  <c r="C11" i="6"/>
  <c r="C13" i="6" s="1"/>
  <c r="C10" i="6"/>
  <c r="J26" i="5"/>
  <c r="I26" i="5"/>
  <c r="H26" i="5"/>
  <c r="J25" i="5"/>
  <c r="I25" i="5"/>
  <c r="H25" i="5"/>
  <c r="J24" i="5"/>
  <c r="C97" i="6" s="1"/>
  <c r="I24" i="5"/>
  <c r="H24" i="5"/>
  <c r="C52" i="6" s="1"/>
  <c r="J23" i="5"/>
  <c r="I23" i="5"/>
  <c r="H23" i="5"/>
  <c r="J22" i="5"/>
  <c r="I22" i="5"/>
  <c r="H22" i="5"/>
  <c r="J21" i="5"/>
  <c r="C130" i="6" s="1"/>
  <c r="C131" i="6" s="1"/>
  <c r="D11" i="7" s="1"/>
  <c r="I21" i="5"/>
  <c r="C63" i="7" s="1"/>
  <c r="C64" i="7" s="1"/>
  <c r="H21" i="5"/>
  <c r="C85" i="6" s="1"/>
  <c r="C86" i="6" s="1"/>
  <c r="C11" i="7" s="1"/>
  <c r="J20" i="5"/>
  <c r="I20" i="5"/>
  <c r="H20" i="5"/>
  <c r="J19" i="5"/>
  <c r="I19" i="5"/>
  <c r="H19" i="5"/>
  <c r="J18" i="5"/>
  <c r="I18" i="5"/>
  <c r="H18" i="5"/>
  <c r="J17" i="5"/>
  <c r="C123" i="6" s="1"/>
  <c r="D7" i="7" s="1"/>
  <c r="I17" i="5"/>
  <c r="C56" i="7" s="1"/>
  <c r="H17" i="5"/>
  <c r="C78" i="6" s="1"/>
  <c r="C7" i="7" s="1"/>
  <c r="J16" i="5"/>
  <c r="I16" i="5"/>
  <c r="H16" i="5"/>
  <c r="J15" i="5"/>
  <c r="I15" i="5"/>
  <c r="H15" i="5"/>
  <c r="J14" i="5"/>
  <c r="I14" i="5"/>
  <c r="H14" i="5"/>
  <c r="J13" i="5"/>
  <c r="I13" i="5"/>
  <c r="H13" i="5"/>
  <c r="J12" i="5"/>
  <c r="I12" i="5"/>
  <c r="H12" i="5"/>
  <c r="J11" i="5"/>
  <c r="I11" i="5"/>
  <c r="H11" i="5"/>
  <c r="J10" i="5"/>
  <c r="C106" i="6" s="1"/>
  <c r="I10" i="5"/>
  <c r="H10" i="5"/>
  <c r="C61" i="6" s="1"/>
  <c r="J9" i="5"/>
  <c r="I9" i="5"/>
  <c r="H9" i="5"/>
  <c r="J8" i="5"/>
  <c r="I8" i="5"/>
  <c r="H8" i="5"/>
  <c r="J7" i="5"/>
  <c r="I7" i="5"/>
  <c r="H7" i="5"/>
  <c r="J6" i="5"/>
  <c r="I6" i="5"/>
  <c r="H6" i="5"/>
  <c r="J5" i="5"/>
  <c r="I5" i="5"/>
  <c r="H5" i="5"/>
  <c r="J4" i="5"/>
  <c r="I4" i="5"/>
  <c r="H4" i="5"/>
  <c r="J3" i="5"/>
  <c r="I3" i="5"/>
  <c r="H3" i="5"/>
  <c r="J2" i="5"/>
  <c r="C95" i="6" s="1"/>
  <c r="I2" i="5"/>
  <c r="C5" i="6" s="1"/>
  <c r="H2" i="5"/>
  <c r="C50" i="6" s="1"/>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C20" i="1"/>
  <c r="C19" i="1"/>
  <c r="C18" i="1"/>
  <c r="C17" i="1"/>
  <c r="C16" i="1"/>
  <c r="C7" i="1"/>
  <c r="C307" i="7" l="1"/>
  <c r="C306" i="7"/>
  <c r="C216" i="7"/>
  <c r="C59" i="6"/>
  <c r="C261" i="7"/>
  <c r="C217" i="7"/>
  <c r="C172" i="7"/>
  <c r="C58" i="6"/>
  <c r="C82" i="7"/>
  <c r="C81" i="7"/>
  <c r="C37" i="7"/>
  <c r="C36" i="7"/>
  <c r="C104" i="6"/>
  <c r="C14" i="6"/>
  <c r="C210" i="7"/>
  <c r="C255" i="7"/>
  <c r="C120" i="7"/>
  <c r="C75" i="7"/>
  <c r="C312" i="7"/>
  <c r="M305" i="7"/>
  <c r="D304" i="7"/>
  <c r="E304" i="7"/>
  <c r="E305" i="7"/>
  <c r="F304" i="7"/>
  <c r="G304" i="7"/>
  <c r="H304" i="7"/>
  <c r="I304" i="7"/>
  <c r="J304" i="7"/>
  <c r="K304" i="7"/>
  <c r="L304" i="7"/>
  <c r="M304" i="7"/>
  <c r="L305" i="7"/>
  <c r="K305" i="7"/>
  <c r="D305" i="7"/>
  <c r="J305" i="7"/>
  <c r="I305" i="7"/>
  <c r="H305" i="7"/>
  <c r="G305" i="7"/>
  <c r="F305" i="7"/>
  <c r="M260" i="7"/>
  <c r="D259" i="7"/>
  <c r="E259" i="7"/>
  <c r="F259" i="7"/>
  <c r="G259" i="7"/>
  <c r="H259" i="7"/>
  <c r="I259" i="7"/>
  <c r="J259" i="7"/>
  <c r="K259" i="7"/>
  <c r="L259" i="7"/>
  <c r="M259" i="7"/>
  <c r="D260" i="7"/>
  <c r="E260" i="7"/>
  <c r="F260" i="7"/>
  <c r="G260" i="7"/>
  <c r="H260" i="7"/>
  <c r="I260" i="7"/>
  <c r="J260" i="7"/>
  <c r="K260" i="7"/>
  <c r="L260" i="7"/>
  <c r="C267" i="7"/>
  <c r="G214" i="7"/>
  <c r="K215" i="7"/>
  <c r="C222" i="7"/>
  <c r="M215" i="7"/>
  <c r="L215" i="7"/>
  <c r="J215" i="7"/>
  <c r="I215" i="7"/>
  <c r="H215" i="7"/>
  <c r="G215" i="7"/>
  <c r="F215" i="7"/>
  <c r="E215" i="7"/>
  <c r="D215" i="7"/>
  <c r="M214" i="7"/>
  <c r="L214" i="7"/>
  <c r="K214" i="7"/>
  <c r="J214" i="7"/>
  <c r="I214" i="7"/>
  <c r="H214" i="7"/>
  <c r="F214" i="7"/>
  <c r="E214" i="7"/>
  <c r="D214" i="7"/>
  <c r="C177" i="7"/>
  <c r="M170" i="7"/>
  <c r="L170" i="7"/>
  <c r="E170" i="7"/>
  <c r="D170" i="7"/>
  <c r="M169" i="7"/>
  <c r="L169" i="7"/>
  <c r="J170" i="7"/>
  <c r="I170" i="7"/>
  <c r="K170" i="7"/>
  <c r="K169" i="7"/>
  <c r="J169" i="7"/>
  <c r="I169" i="7"/>
  <c r="H169" i="7"/>
  <c r="G169" i="7"/>
  <c r="F169" i="7"/>
  <c r="E169" i="7"/>
  <c r="D169" i="7"/>
  <c r="G170" i="7"/>
  <c r="F170" i="7"/>
  <c r="H170" i="7"/>
  <c r="D124" i="7"/>
  <c r="E124" i="7"/>
  <c r="F124" i="7"/>
  <c r="G124" i="7"/>
  <c r="H124" i="7"/>
  <c r="I124" i="7"/>
  <c r="J124" i="7"/>
  <c r="K124" i="7"/>
  <c r="L124" i="7"/>
  <c r="M124" i="7"/>
  <c r="D125" i="7"/>
  <c r="E125" i="7"/>
  <c r="F125" i="7"/>
  <c r="G125" i="7"/>
  <c r="H125" i="7"/>
  <c r="I125" i="7"/>
  <c r="J125" i="7"/>
  <c r="K125" i="7"/>
  <c r="L125" i="7"/>
  <c r="M125" i="7"/>
  <c r="C132" i="7"/>
  <c r="C87" i="7"/>
  <c r="M80" i="7"/>
  <c r="L80" i="7"/>
  <c r="K80" i="7"/>
  <c r="J80" i="7"/>
  <c r="I80" i="7"/>
  <c r="H80" i="7"/>
  <c r="G80" i="7"/>
  <c r="F80" i="7"/>
  <c r="E80" i="7"/>
  <c r="L79" i="7"/>
  <c r="K79" i="7"/>
  <c r="I79" i="7"/>
  <c r="G79" i="7"/>
  <c r="E79" i="7"/>
  <c r="D79" i="7"/>
  <c r="F79" i="7"/>
  <c r="H79" i="7"/>
  <c r="J79" i="7"/>
  <c r="M79" i="7"/>
  <c r="D80" i="7"/>
  <c r="J34" i="7"/>
  <c r="K34" i="7"/>
  <c r="K35" i="7"/>
  <c r="L34" i="7"/>
  <c r="M34" i="7"/>
  <c r="D35" i="7"/>
  <c r="F35" i="7"/>
  <c r="G35" i="7"/>
  <c r="H35" i="7"/>
  <c r="I35" i="7"/>
  <c r="J35" i="7"/>
  <c r="C42" i="7"/>
  <c r="H34" i="7"/>
  <c r="L35" i="7"/>
  <c r="M35" i="7"/>
  <c r="D34" i="7"/>
  <c r="E34" i="7"/>
  <c r="F34" i="7"/>
  <c r="G34" i="7"/>
  <c r="E35" i="7"/>
  <c r="I34" i="7"/>
  <c r="C29" i="7"/>
  <c r="C299" i="7"/>
  <c r="C6" i="6"/>
  <c r="D10" i="6" s="1"/>
  <c r="C164" i="7"/>
  <c r="C7" i="6"/>
  <c r="C165" i="7"/>
  <c r="C300" i="7"/>
  <c r="C30" i="7"/>
  <c r="C288" i="7"/>
  <c r="C289" i="7" s="1"/>
  <c r="C198" i="7"/>
  <c r="C199" i="7" s="1"/>
  <c r="C153" i="7"/>
  <c r="C154" i="7" s="1"/>
  <c r="C333" i="7"/>
  <c r="C334" i="7" s="1"/>
  <c r="C108" i="7"/>
  <c r="C109" i="7" s="1"/>
  <c r="C243" i="7"/>
  <c r="C244" i="7" s="1"/>
  <c r="C40" i="6"/>
  <c r="C41" i="6" s="1"/>
  <c r="B11" i="7" s="1"/>
  <c r="C9" i="1" s="1"/>
  <c r="G117" i="6"/>
  <c r="G118" i="6" s="1"/>
  <c r="I117" i="6"/>
  <c r="I118" i="6" s="1"/>
  <c r="F117" i="6"/>
  <c r="F118" i="6" s="1"/>
  <c r="E117" i="6"/>
  <c r="E118" i="6" s="1"/>
  <c r="D117" i="6"/>
  <c r="D118" i="6" s="1"/>
  <c r="C117" i="6"/>
  <c r="C118" i="6" s="1"/>
  <c r="H117" i="6"/>
  <c r="H118" i="6" s="1"/>
  <c r="J117" i="6"/>
  <c r="J118" i="6" s="1"/>
  <c r="K117" i="6"/>
  <c r="K118" i="6" s="1"/>
  <c r="L117" i="6"/>
  <c r="L118" i="6" s="1"/>
  <c r="M117" i="6"/>
  <c r="M118" i="6" s="1"/>
  <c r="J27" i="6"/>
  <c r="L27" i="6"/>
  <c r="M275" i="7"/>
  <c r="L275" i="7"/>
  <c r="K275" i="7"/>
  <c r="M320" i="7"/>
  <c r="L320" i="7"/>
  <c r="K320" i="7"/>
  <c r="J320" i="7"/>
  <c r="I320" i="7"/>
  <c r="H320" i="7"/>
  <c r="G320" i="7"/>
  <c r="F320" i="7"/>
  <c r="E320" i="7"/>
  <c r="D320" i="7"/>
  <c r="C320" i="7"/>
  <c r="J275" i="7"/>
  <c r="F95" i="7"/>
  <c r="C27" i="6"/>
  <c r="E27" i="6"/>
  <c r="D27" i="6"/>
  <c r="F27" i="6"/>
  <c r="G27" i="6"/>
  <c r="H27" i="6"/>
  <c r="I27" i="6"/>
  <c r="K27" i="6"/>
  <c r="M27" i="6"/>
  <c r="I275" i="7"/>
  <c r="H275" i="7"/>
  <c r="G275" i="7"/>
  <c r="F275" i="7"/>
  <c r="E275" i="7"/>
  <c r="M230" i="7"/>
  <c r="C275" i="7"/>
  <c r="K140" i="7"/>
  <c r="M95" i="7"/>
  <c r="L95" i="7"/>
  <c r="K95" i="7"/>
  <c r="J95" i="7"/>
  <c r="I95" i="7"/>
  <c r="H95" i="7"/>
  <c r="G95" i="7"/>
  <c r="L230" i="7"/>
  <c r="K230" i="7"/>
  <c r="J230" i="7"/>
  <c r="I230" i="7"/>
  <c r="H230" i="7"/>
  <c r="G230" i="7"/>
  <c r="F230" i="7"/>
  <c r="E230" i="7"/>
  <c r="D230" i="7"/>
  <c r="C230" i="7"/>
  <c r="C140" i="7"/>
  <c r="D140" i="7"/>
  <c r="E140" i="7"/>
  <c r="F140" i="7"/>
  <c r="G140" i="7"/>
  <c r="H140" i="7"/>
  <c r="I140" i="7"/>
  <c r="J140" i="7"/>
  <c r="L140" i="7"/>
  <c r="M140" i="7"/>
  <c r="C185" i="7"/>
  <c r="D275" i="7"/>
  <c r="E95" i="7"/>
  <c r="D95" i="7"/>
  <c r="C95" i="7"/>
  <c r="H185" i="7"/>
  <c r="M185" i="7"/>
  <c r="L185" i="7"/>
  <c r="K185" i="7"/>
  <c r="J185" i="7"/>
  <c r="I185" i="7"/>
  <c r="M50" i="7"/>
  <c r="G185" i="7"/>
  <c r="F185" i="7"/>
  <c r="E185" i="7"/>
  <c r="D185" i="7"/>
  <c r="C50" i="7"/>
  <c r="D50" i="7"/>
  <c r="E50" i="7"/>
  <c r="F50" i="7"/>
  <c r="G50" i="7"/>
  <c r="H50" i="7"/>
  <c r="I50" i="7"/>
  <c r="J50" i="7"/>
  <c r="K50" i="7"/>
  <c r="L50" i="7"/>
  <c r="H72" i="6"/>
  <c r="F72" i="6"/>
  <c r="D72" i="6"/>
  <c r="E72" i="6"/>
  <c r="C72" i="6"/>
  <c r="G72" i="6"/>
  <c r="I72" i="6"/>
  <c r="K72" i="6"/>
  <c r="M72" i="6"/>
  <c r="L72" i="6"/>
  <c r="J72" i="6"/>
  <c r="H321" i="7"/>
  <c r="G321" i="7"/>
  <c r="F321" i="7"/>
  <c r="E321" i="7"/>
  <c r="D321" i="7"/>
  <c r="C321" i="7"/>
  <c r="E51" i="7"/>
  <c r="F51" i="7"/>
  <c r="G51" i="7"/>
  <c r="H51" i="7"/>
  <c r="J51" i="7"/>
  <c r="K51" i="7"/>
  <c r="L51" i="7"/>
  <c r="C276" i="7"/>
  <c r="M51" i="7"/>
  <c r="H231" i="7"/>
  <c r="M96" i="7"/>
  <c r="L96" i="7"/>
  <c r="C141" i="7"/>
  <c r="D141" i="7"/>
  <c r="E141" i="7"/>
  <c r="F141" i="7"/>
  <c r="G141" i="7"/>
  <c r="H141" i="7"/>
  <c r="I141" i="7"/>
  <c r="J141" i="7"/>
  <c r="K141" i="7"/>
  <c r="L141" i="7"/>
  <c r="M141" i="7"/>
  <c r="K96" i="7"/>
  <c r="J96" i="7"/>
  <c r="I96" i="7"/>
  <c r="H96" i="7"/>
  <c r="G96" i="7"/>
  <c r="F96" i="7"/>
  <c r="E96" i="7"/>
  <c r="D96" i="7"/>
  <c r="C96" i="7"/>
  <c r="I51" i="7"/>
  <c r="C28" i="6"/>
  <c r="E28" i="6"/>
  <c r="G28" i="6"/>
  <c r="I28" i="6"/>
  <c r="K28" i="6"/>
  <c r="M28" i="6"/>
  <c r="D28" i="6"/>
  <c r="M276" i="7"/>
  <c r="L276" i="7"/>
  <c r="K276" i="7"/>
  <c r="J276" i="7"/>
  <c r="I276" i="7"/>
  <c r="H276" i="7"/>
  <c r="F276" i="7"/>
  <c r="E276" i="7"/>
  <c r="M186" i="7"/>
  <c r="L186" i="7"/>
  <c r="K186" i="7"/>
  <c r="J186" i="7"/>
  <c r="I186" i="7"/>
  <c r="H186" i="7"/>
  <c r="G186" i="7"/>
  <c r="F186" i="7"/>
  <c r="E186" i="7"/>
  <c r="D186" i="7"/>
  <c r="C186" i="7"/>
  <c r="D276" i="7"/>
  <c r="F28" i="6"/>
  <c r="H28" i="6"/>
  <c r="J28" i="6"/>
  <c r="L28" i="6"/>
  <c r="M231" i="7"/>
  <c r="L231" i="7"/>
  <c r="K231" i="7"/>
  <c r="J231" i="7"/>
  <c r="I231" i="7"/>
  <c r="G276" i="7"/>
  <c r="G231" i="7"/>
  <c r="F231" i="7"/>
  <c r="E231" i="7"/>
  <c r="D231" i="7"/>
  <c r="C231" i="7"/>
  <c r="M321" i="7"/>
  <c r="L321" i="7"/>
  <c r="K321" i="7"/>
  <c r="J321" i="7"/>
  <c r="I321" i="7"/>
  <c r="C51" i="7"/>
  <c r="D51" i="7"/>
  <c r="D73" i="6"/>
  <c r="C73" i="6"/>
  <c r="E73" i="6"/>
  <c r="F73" i="6"/>
  <c r="G73" i="6"/>
  <c r="H73" i="6"/>
  <c r="I73" i="6"/>
  <c r="J73" i="6"/>
  <c r="K73" i="6"/>
  <c r="L73" i="6"/>
  <c r="M73" i="6"/>
  <c r="C191" i="7"/>
  <c r="C33" i="6"/>
  <c r="B7" i="7" s="1"/>
  <c r="C12" i="1" s="1"/>
  <c r="C101" i="7"/>
  <c r="C146" i="7"/>
  <c r="C326" i="7"/>
  <c r="C281" i="7"/>
  <c r="C236" i="7"/>
  <c r="F116" i="6"/>
  <c r="E116" i="6"/>
  <c r="I116" i="6"/>
  <c r="H116" i="6"/>
  <c r="M116" i="6"/>
  <c r="D116" i="6"/>
  <c r="C116" i="6"/>
  <c r="G116" i="6"/>
  <c r="J116" i="6"/>
  <c r="K116" i="6"/>
  <c r="L116" i="6"/>
  <c r="J319" i="7"/>
  <c r="I319" i="7"/>
  <c r="H319" i="7"/>
  <c r="G319" i="7"/>
  <c r="F319" i="7"/>
  <c r="E319" i="7"/>
  <c r="D319" i="7"/>
  <c r="C319" i="7"/>
  <c r="F139" i="7"/>
  <c r="D26" i="6"/>
  <c r="F26" i="6"/>
  <c r="C139" i="7"/>
  <c r="D139" i="7"/>
  <c r="H26" i="6"/>
  <c r="J26" i="6"/>
  <c r="L26" i="6"/>
  <c r="G139" i="7"/>
  <c r="M94" i="7"/>
  <c r="L94" i="7"/>
  <c r="K94" i="7"/>
  <c r="J94" i="7"/>
  <c r="I94" i="7"/>
  <c r="H94" i="7"/>
  <c r="G94" i="7"/>
  <c r="F94" i="7"/>
  <c r="I184" i="7"/>
  <c r="H184" i="7"/>
  <c r="E94" i="7"/>
  <c r="D94" i="7"/>
  <c r="C94" i="7"/>
  <c r="G184" i="7"/>
  <c r="E26" i="6"/>
  <c r="G26" i="6"/>
  <c r="I26" i="6"/>
  <c r="K26" i="6"/>
  <c r="M26" i="6"/>
  <c r="H139" i="7"/>
  <c r="I139" i="7"/>
  <c r="E139" i="7"/>
  <c r="J184" i="7"/>
  <c r="K184" i="7"/>
  <c r="L184" i="7"/>
  <c r="M274" i="7"/>
  <c r="L274" i="7"/>
  <c r="K274" i="7"/>
  <c r="J274" i="7"/>
  <c r="I274" i="7"/>
  <c r="H274" i="7"/>
  <c r="M229" i="7"/>
  <c r="L229" i="7"/>
  <c r="K229" i="7"/>
  <c r="J229" i="7"/>
  <c r="I229" i="7"/>
  <c r="H229" i="7"/>
  <c r="G229" i="7"/>
  <c r="F229" i="7"/>
  <c r="E229" i="7"/>
  <c r="D229" i="7"/>
  <c r="C229" i="7"/>
  <c r="M184" i="7"/>
  <c r="F184" i="7"/>
  <c r="G274" i="7"/>
  <c r="F274" i="7"/>
  <c r="E274" i="7"/>
  <c r="D274" i="7"/>
  <c r="C274" i="7"/>
  <c r="E184" i="7"/>
  <c r="D184" i="7"/>
  <c r="C184" i="7"/>
  <c r="J139" i="7"/>
  <c r="K139" i="7"/>
  <c r="L139" i="7"/>
  <c r="C26" i="6"/>
  <c r="M139" i="7"/>
  <c r="M49" i="7"/>
  <c r="L49" i="7"/>
  <c r="K49" i="7"/>
  <c r="J49" i="7"/>
  <c r="I49" i="7"/>
  <c r="H49" i="7"/>
  <c r="G49" i="7"/>
  <c r="F49" i="7"/>
  <c r="E49" i="7"/>
  <c r="D49" i="7"/>
  <c r="C49" i="7"/>
  <c r="M319" i="7"/>
  <c r="L319" i="7"/>
  <c r="K319" i="7"/>
  <c r="L71" i="6"/>
  <c r="M71" i="6"/>
  <c r="K71" i="6"/>
  <c r="J71" i="6"/>
  <c r="I71" i="6"/>
  <c r="H71" i="6"/>
  <c r="G71" i="6"/>
  <c r="F71" i="6"/>
  <c r="C71" i="6"/>
  <c r="D71" i="6"/>
  <c r="E71" i="6"/>
  <c r="C111" i="6"/>
  <c r="C112" i="6" s="1"/>
  <c r="C314" i="7"/>
  <c r="C315" i="7" s="1"/>
  <c r="C44" i="7"/>
  <c r="C45" i="7" s="1"/>
  <c r="C224" i="7"/>
  <c r="C225" i="7" s="1"/>
  <c r="C89" i="7"/>
  <c r="C90" i="7" s="1"/>
  <c r="C269" i="7"/>
  <c r="C270" i="7" s="1"/>
  <c r="C134" i="7"/>
  <c r="C135" i="7" s="1"/>
  <c r="C179" i="7"/>
  <c r="C180" i="7" s="1"/>
  <c r="C21" i="6"/>
  <c r="C22" i="6" s="1"/>
  <c r="C66" i="6"/>
  <c r="C67" i="6" s="1"/>
  <c r="C105" i="6"/>
  <c r="C308" i="7"/>
  <c r="C173" i="7"/>
  <c r="C218" i="7"/>
  <c r="C38" i="7"/>
  <c r="C15" i="6"/>
  <c r="C263" i="7"/>
  <c r="C128" i="7"/>
  <c r="C83" i="7"/>
  <c r="C60" i="6"/>
  <c r="C309" i="7"/>
  <c r="C39" i="7"/>
  <c r="C264" i="7"/>
  <c r="C219" i="7"/>
  <c r="C129" i="7"/>
  <c r="C16" i="6"/>
  <c r="C84" i="7"/>
  <c r="C174" i="7"/>
  <c r="C119" i="7"/>
  <c r="C74" i="7"/>
  <c r="C209" i="7"/>
  <c r="C254" i="7"/>
  <c r="C109" i="6"/>
  <c r="D5" i="7"/>
  <c r="D101" i="6"/>
  <c r="E101" i="6"/>
  <c r="F101" i="6"/>
  <c r="G101" i="6"/>
  <c r="H101" i="6"/>
  <c r="I101" i="6"/>
  <c r="J101" i="6"/>
  <c r="K101" i="6"/>
  <c r="L101" i="6"/>
  <c r="M101" i="6"/>
  <c r="D102" i="6"/>
  <c r="E102" i="6"/>
  <c r="F102" i="6"/>
  <c r="G102" i="6"/>
  <c r="H102" i="6"/>
  <c r="I102" i="6"/>
  <c r="J102" i="6"/>
  <c r="K102" i="6"/>
  <c r="L102" i="6"/>
  <c r="M102" i="6"/>
  <c r="D11" i="6"/>
  <c r="H11" i="6"/>
  <c r="L11" i="6"/>
  <c r="E12" i="6"/>
  <c r="I12" i="6"/>
  <c r="M12" i="6"/>
  <c r="B5" i="7"/>
  <c r="C13" i="1" s="1"/>
  <c r="F10" i="6"/>
  <c r="H10" i="6"/>
  <c r="G11" i="6"/>
  <c r="I11" i="6"/>
  <c r="M11" i="6"/>
  <c r="G12" i="6"/>
  <c r="K12" i="6"/>
  <c r="C19" i="6"/>
  <c r="I10" i="6"/>
  <c r="F11" i="6"/>
  <c r="F13" i="6" s="1"/>
  <c r="J11" i="6"/>
  <c r="D12" i="6"/>
  <c r="H12" i="6"/>
  <c r="H14" i="6" s="1"/>
  <c r="L12" i="6"/>
  <c r="E10" i="6"/>
  <c r="G10" i="6"/>
  <c r="J10" i="6"/>
  <c r="E11" i="6"/>
  <c r="E13" i="6" s="1"/>
  <c r="K11" i="6"/>
  <c r="F12" i="6"/>
  <c r="F14" i="6" s="1"/>
  <c r="J12" i="6"/>
  <c r="J14" i="6" s="1"/>
  <c r="E56" i="6"/>
  <c r="G56" i="6"/>
  <c r="I56" i="6"/>
  <c r="K56" i="6"/>
  <c r="M56" i="6"/>
  <c r="D57" i="6"/>
  <c r="F57" i="6"/>
  <c r="H57" i="6"/>
  <c r="K57" i="6"/>
  <c r="C5" i="7"/>
  <c r="M57" i="6"/>
  <c r="C64" i="6"/>
  <c r="D56" i="6"/>
  <c r="F56" i="6"/>
  <c r="H56" i="6"/>
  <c r="J56" i="6"/>
  <c r="L56" i="6"/>
  <c r="E57" i="6"/>
  <c r="G57" i="6"/>
  <c r="I57" i="6"/>
  <c r="J57" i="6"/>
  <c r="L57" i="6"/>
  <c r="C108" i="6"/>
  <c r="C110" i="6" s="1"/>
  <c r="C113" i="6" s="1"/>
  <c r="C63" i="6"/>
  <c r="C65" i="6" s="1"/>
  <c r="C68" i="6" s="1"/>
  <c r="C96" i="6"/>
  <c r="C51" i="6"/>
  <c r="D303" i="7" l="1"/>
  <c r="E303" i="7"/>
  <c r="F303" i="7"/>
  <c r="G303" i="7"/>
  <c r="H303" i="7"/>
  <c r="I303" i="7"/>
  <c r="J303" i="7"/>
  <c r="K303" i="7"/>
  <c r="L303" i="7"/>
  <c r="G123" i="7"/>
  <c r="F123" i="7"/>
  <c r="D123" i="7"/>
  <c r="E123" i="7"/>
  <c r="H123" i="7"/>
  <c r="E78" i="7"/>
  <c r="G78" i="7"/>
  <c r="D213" i="7"/>
  <c r="J213" i="7"/>
  <c r="J224" i="7" s="1"/>
  <c r="J225" i="7" s="1"/>
  <c r="I213" i="7"/>
  <c r="I224" i="7" s="1"/>
  <c r="H213" i="7"/>
  <c r="G213" i="7"/>
  <c r="G224" i="7" s="1"/>
  <c r="F213" i="7"/>
  <c r="E213" i="7"/>
  <c r="E224" i="7" s="1"/>
  <c r="E258" i="7"/>
  <c r="F258" i="7"/>
  <c r="G258" i="7"/>
  <c r="H258" i="7"/>
  <c r="J258" i="7"/>
  <c r="K258" i="7"/>
  <c r="I258" i="7"/>
  <c r="D258" i="7"/>
  <c r="F16" i="6"/>
  <c r="F21" i="6"/>
  <c r="H21" i="6"/>
  <c r="H16" i="6"/>
  <c r="I16" i="6"/>
  <c r="I21" i="6"/>
  <c r="E21" i="6"/>
  <c r="E16" i="6"/>
  <c r="G16" i="6"/>
  <c r="G21" i="6"/>
  <c r="J16" i="6"/>
  <c r="J21" i="6"/>
  <c r="J22" i="6" s="1"/>
  <c r="C137" i="6"/>
  <c r="C340" i="7"/>
  <c r="C295" i="7"/>
  <c r="C160" i="7"/>
  <c r="C115" i="7"/>
  <c r="C47" i="6"/>
  <c r="C205" i="7"/>
  <c r="C250" i="7"/>
  <c r="C70" i="7"/>
  <c r="C92" i="6"/>
  <c r="C114" i="6"/>
  <c r="C115" i="6"/>
  <c r="C69" i="6"/>
  <c r="C70" i="6"/>
  <c r="J261" i="7"/>
  <c r="K261" i="7"/>
  <c r="K262" i="7"/>
  <c r="G216" i="7"/>
  <c r="J217" i="7"/>
  <c r="I217" i="7"/>
  <c r="H217" i="7"/>
  <c r="G217" i="7"/>
  <c r="F217" i="7"/>
  <c r="E217" i="7"/>
  <c r="J216" i="7"/>
  <c r="I216" i="7"/>
  <c r="H216" i="7"/>
  <c r="F216" i="7"/>
  <c r="E216" i="7"/>
  <c r="G81" i="7"/>
  <c r="E81" i="7"/>
  <c r="G22" i="6"/>
  <c r="G82" i="7"/>
  <c r="E82" i="7"/>
  <c r="I22" i="6"/>
  <c r="H22" i="6"/>
  <c r="C311" i="7"/>
  <c r="C313" i="7" s="1"/>
  <c r="C316" i="7" s="1"/>
  <c r="C41" i="7"/>
  <c r="C43" i="7" s="1"/>
  <c r="C46" i="7" s="1"/>
  <c r="C266" i="7"/>
  <c r="C268" i="7" s="1"/>
  <c r="C271" i="7" s="1"/>
  <c r="C221" i="7"/>
  <c r="C223" i="7" s="1"/>
  <c r="C226" i="7" s="1"/>
  <c r="C131" i="7"/>
  <c r="C133" i="7" s="1"/>
  <c r="C136" i="7" s="1"/>
  <c r="C18" i="6"/>
  <c r="C20" i="6" s="1"/>
  <c r="C23" i="6" s="1"/>
  <c r="C86" i="7"/>
  <c r="C88" i="7" s="1"/>
  <c r="C91" i="7" s="1"/>
  <c r="C176" i="7"/>
  <c r="C178" i="7" s="1"/>
  <c r="C181" i="7" s="1"/>
  <c r="G13" i="6"/>
  <c r="I13" i="6"/>
  <c r="G14" i="6"/>
  <c r="J13" i="6"/>
  <c r="D14" i="6"/>
  <c r="H13" i="6"/>
  <c r="E14" i="6"/>
  <c r="I14" i="6"/>
  <c r="D309" i="7"/>
  <c r="D314" i="7"/>
  <c r="D315" i="7" s="1"/>
  <c r="D310" i="7"/>
  <c r="D308" i="7"/>
  <c r="E314" i="7"/>
  <c r="E315" i="7" s="1"/>
  <c r="E308" i="7"/>
  <c r="E310" i="7"/>
  <c r="E309" i="7"/>
  <c r="F308" i="7"/>
  <c r="F314" i="7"/>
  <c r="F315" i="7" s="1"/>
  <c r="F309" i="7"/>
  <c r="F310" i="7"/>
  <c r="G314" i="7"/>
  <c r="G315" i="7" s="1"/>
  <c r="G309" i="7"/>
  <c r="G308" i="7"/>
  <c r="G310" i="7"/>
  <c r="H310" i="7"/>
  <c r="H312" i="7" s="1"/>
  <c r="H308" i="7"/>
  <c r="H314" i="7"/>
  <c r="H309" i="7"/>
  <c r="I314" i="7"/>
  <c r="I315" i="7" s="1"/>
  <c r="I309" i="7"/>
  <c r="I308" i="7"/>
  <c r="I310" i="7"/>
  <c r="I312" i="7" s="1"/>
  <c r="J310" i="7"/>
  <c r="J312" i="7" s="1"/>
  <c r="J309" i="7"/>
  <c r="J308" i="7"/>
  <c r="J314" i="7"/>
  <c r="J315" i="7" s="1"/>
  <c r="K309" i="7"/>
  <c r="K314" i="7"/>
  <c r="K315" i="7" s="1"/>
  <c r="K310" i="7"/>
  <c r="K312" i="7" s="1"/>
  <c r="K308" i="7"/>
  <c r="M303" i="7"/>
  <c r="L309" i="7"/>
  <c r="L310" i="7"/>
  <c r="L312" i="7" s="1"/>
  <c r="L308" i="7"/>
  <c r="L314" i="7"/>
  <c r="L315" i="7" s="1"/>
  <c r="K263" i="7"/>
  <c r="K265" i="7"/>
  <c r="K267" i="7" s="1"/>
  <c r="L258" i="7"/>
  <c r="D218" i="7"/>
  <c r="D220" i="7"/>
  <c r="K213" i="7"/>
  <c r="J218" i="7"/>
  <c r="J219" i="7"/>
  <c r="J220" i="7"/>
  <c r="J222" i="7" s="1"/>
  <c r="I218" i="7"/>
  <c r="I219" i="7"/>
  <c r="I220" i="7"/>
  <c r="I222" i="7" s="1"/>
  <c r="H218" i="7"/>
  <c r="H220" i="7"/>
  <c r="H222" i="7" s="1"/>
  <c r="G219" i="7"/>
  <c r="G220" i="7"/>
  <c r="G222" i="7" s="1"/>
  <c r="G218" i="7"/>
  <c r="F218" i="7"/>
  <c r="F220" i="7"/>
  <c r="F222" i="7" s="1"/>
  <c r="E218" i="7"/>
  <c r="E220" i="7"/>
  <c r="E222" i="7" s="1"/>
  <c r="E219" i="7"/>
  <c r="E84" i="7"/>
  <c r="E83" i="7"/>
  <c r="E89" i="7"/>
  <c r="E85" i="7"/>
  <c r="E87" i="7" s="1"/>
  <c r="G84" i="7"/>
  <c r="G83" i="7"/>
  <c r="H78" i="7"/>
  <c r="G89" i="7"/>
  <c r="G85" i="7"/>
  <c r="G87" i="7" s="1"/>
  <c r="E33" i="7"/>
  <c r="F33" i="7"/>
  <c r="D33" i="7"/>
  <c r="D17" i="6"/>
  <c r="D19" i="6" s="1"/>
  <c r="D16" i="6"/>
  <c r="D15" i="6"/>
  <c r="D21" i="6"/>
  <c r="D13" i="6"/>
  <c r="D168" i="7"/>
  <c r="F168" i="7"/>
  <c r="G168" i="7"/>
  <c r="H168" i="7"/>
  <c r="I168" i="7"/>
  <c r="E168" i="7"/>
  <c r="D78" i="7"/>
  <c r="F78" i="7"/>
  <c r="F17" i="6"/>
  <c r="F15" i="6"/>
  <c r="H15" i="6"/>
  <c r="H17" i="6"/>
  <c r="H19" i="6" s="1"/>
  <c r="I15" i="6"/>
  <c r="I17" i="6"/>
  <c r="I19" i="6" s="1"/>
  <c r="E15" i="6"/>
  <c r="E17" i="6"/>
  <c r="E19" i="6" s="1"/>
  <c r="G15" i="6"/>
  <c r="G17" i="6"/>
  <c r="G19" i="6" s="1"/>
  <c r="J15" i="6"/>
  <c r="J17" i="6"/>
  <c r="K10" i="6"/>
  <c r="D100" i="6"/>
  <c r="E100" i="6"/>
  <c r="F100" i="6"/>
  <c r="G100" i="6"/>
  <c r="H100" i="6"/>
  <c r="I100" i="6"/>
  <c r="J100" i="6"/>
  <c r="K100" i="6"/>
  <c r="D55" i="6"/>
  <c r="E55" i="6"/>
  <c r="G55" i="6"/>
  <c r="F55" i="6"/>
  <c r="D307" i="7" l="1"/>
  <c r="D306" i="7"/>
  <c r="E307" i="7"/>
  <c r="E306" i="7"/>
  <c r="F307" i="7"/>
  <c r="F306" i="7"/>
  <c r="G307" i="7"/>
  <c r="G306" i="7"/>
  <c r="H307" i="7"/>
  <c r="H306" i="7"/>
  <c r="H311" i="7" s="1"/>
  <c r="H313" i="7" s="1"/>
  <c r="I307" i="7"/>
  <c r="I306" i="7"/>
  <c r="I311" i="7" s="1"/>
  <c r="I313" i="7" s="1"/>
  <c r="I316" i="7" s="1"/>
  <c r="I317" i="7" s="1"/>
  <c r="J307" i="7"/>
  <c r="J306" i="7"/>
  <c r="J311" i="7" s="1"/>
  <c r="J313" i="7" s="1"/>
  <c r="J316" i="7" s="1"/>
  <c r="J317" i="7" s="1"/>
  <c r="K307" i="7"/>
  <c r="K306" i="7"/>
  <c r="K311" i="7" s="1"/>
  <c r="K313" i="7" s="1"/>
  <c r="K316" i="7" s="1"/>
  <c r="K317" i="7" s="1"/>
  <c r="L307" i="7"/>
  <c r="L306" i="7"/>
  <c r="L311" i="7" s="1"/>
  <c r="G129" i="7"/>
  <c r="G134" i="7"/>
  <c r="G127" i="7"/>
  <c r="G126" i="7"/>
  <c r="G128" i="7"/>
  <c r="G130" i="7"/>
  <c r="G132" i="7" s="1"/>
  <c r="F128" i="7"/>
  <c r="F134" i="7"/>
  <c r="F127" i="7"/>
  <c r="F126" i="7"/>
  <c r="F129" i="7"/>
  <c r="F130" i="7"/>
  <c r="F132" i="7" s="1"/>
  <c r="D129" i="7"/>
  <c r="D134" i="7"/>
  <c r="D135" i="7" s="1"/>
  <c r="D128" i="7"/>
  <c r="D127" i="7"/>
  <c r="D126" i="7"/>
  <c r="D130" i="7"/>
  <c r="D132" i="7" s="1"/>
  <c r="E129" i="7"/>
  <c r="E128" i="7"/>
  <c r="E127" i="7"/>
  <c r="E126" i="7"/>
  <c r="E134" i="7"/>
  <c r="E135" i="7" s="1"/>
  <c r="E130" i="7"/>
  <c r="E132" i="7" s="1"/>
  <c r="I123" i="7"/>
  <c r="H129" i="7"/>
  <c r="H128" i="7"/>
  <c r="H134" i="7"/>
  <c r="H135" i="7" s="1"/>
  <c r="H127" i="7"/>
  <c r="H126" i="7"/>
  <c r="H130" i="7"/>
  <c r="H132" i="7" s="1"/>
  <c r="D219" i="7"/>
  <c r="D224" i="7"/>
  <c r="D216" i="7"/>
  <c r="D217" i="7"/>
  <c r="H219" i="7"/>
  <c r="H224" i="7"/>
  <c r="F219" i="7"/>
  <c r="F224" i="7"/>
  <c r="E264" i="7"/>
  <c r="E263" i="7"/>
  <c r="E262" i="7"/>
  <c r="E269" i="7"/>
  <c r="E261" i="7"/>
  <c r="E265" i="7"/>
  <c r="E267" i="7" s="1"/>
  <c r="F264" i="7"/>
  <c r="F263" i="7"/>
  <c r="F269" i="7"/>
  <c r="F270" i="7" s="1"/>
  <c r="F262" i="7"/>
  <c r="F261" i="7"/>
  <c r="F266" i="7" s="1"/>
  <c r="F268" i="7" s="1"/>
  <c r="F271" i="7" s="1"/>
  <c r="F272" i="7" s="1"/>
  <c r="F265" i="7"/>
  <c r="F267" i="7" s="1"/>
  <c r="G261" i="7"/>
  <c r="G263" i="7"/>
  <c r="G269" i="7"/>
  <c r="G264" i="7"/>
  <c r="G262" i="7"/>
  <c r="G265" i="7"/>
  <c r="G267" i="7" s="1"/>
  <c r="H261" i="7"/>
  <c r="H269" i="7"/>
  <c r="H270" i="7" s="1"/>
  <c r="H264" i="7"/>
  <c r="H262" i="7"/>
  <c r="H263" i="7"/>
  <c r="H265" i="7"/>
  <c r="H267" i="7" s="1"/>
  <c r="J263" i="7"/>
  <c r="J269" i="7"/>
  <c r="J264" i="7"/>
  <c r="J262" i="7"/>
  <c r="J265" i="7"/>
  <c r="J267" i="7" s="1"/>
  <c r="K264" i="7"/>
  <c r="K266" i="7" s="1"/>
  <c r="K269" i="7"/>
  <c r="K270" i="7" s="1"/>
  <c r="I263" i="7"/>
  <c r="I269" i="7"/>
  <c r="I270" i="7" s="1"/>
  <c r="I262" i="7"/>
  <c r="I264" i="7"/>
  <c r="I261" i="7"/>
  <c r="I266" i="7" s="1"/>
  <c r="I268" i="7" s="1"/>
  <c r="I271" i="7" s="1"/>
  <c r="I272" i="7" s="1"/>
  <c r="I265" i="7"/>
  <c r="I267" i="7" s="1"/>
  <c r="D264" i="7"/>
  <c r="D269" i="7"/>
  <c r="D270" i="7" s="1"/>
  <c r="D262" i="7"/>
  <c r="D263" i="7"/>
  <c r="D261" i="7"/>
  <c r="D266" i="7" s="1"/>
  <c r="D268" i="7" s="1"/>
  <c r="D271" i="7" s="1"/>
  <c r="D272" i="7" s="1"/>
  <c r="D265" i="7"/>
  <c r="D267" i="7" s="1"/>
  <c r="F22" i="6"/>
  <c r="J221" i="7"/>
  <c r="I221" i="7"/>
  <c r="I223" i="7" s="1"/>
  <c r="H18" i="6"/>
  <c r="H20" i="6" s="1"/>
  <c r="H23" i="6" s="1"/>
  <c r="H24" i="6" s="1"/>
  <c r="E18" i="6"/>
  <c r="E20" i="6" s="1"/>
  <c r="F19" i="6"/>
  <c r="F18" i="6"/>
  <c r="F20" i="6" s="1"/>
  <c r="F23" i="6" s="1"/>
  <c r="F24" i="6" s="1"/>
  <c r="C232" i="7"/>
  <c r="J223" i="7"/>
  <c r="J226" i="7" s="1"/>
  <c r="J227" i="7" s="1"/>
  <c r="C322" i="7"/>
  <c r="M313" i="7" s="1"/>
  <c r="L313" i="7"/>
  <c r="L316" i="7" s="1"/>
  <c r="L317" i="7" s="1"/>
  <c r="C318" i="7"/>
  <c r="C317" i="7"/>
  <c r="C48" i="7"/>
  <c r="C47" i="7"/>
  <c r="C273" i="7"/>
  <c r="C272" i="7"/>
  <c r="C228" i="7"/>
  <c r="C227" i="7"/>
  <c r="C138" i="7"/>
  <c r="C137" i="7"/>
  <c r="C24" i="6"/>
  <c r="C25" i="6"/>
  <c r="C93" i="7"/>
  <c r="C92" i="7"/>
  <c r="C183" i="7"/>
  <c r="C182" i="7"/>
  <c r="J18" i="6"/>
  <c r="M307" i="7"/>
  <c r="C329" i="7"/>
  <c r="C330" i="7" s="1"/>
  <c r="M309" i="7"/>
  <c r="M308" i="7"/>
  <c r="M314" i="7"/>
  <c r="M315" i="7" s="1"/>
  <c r="M310" i="7"/>
  <c r="M306" i="7"/>
  <c r="L265" i="7"/>
  <c r="L264" i="7"/>
  <c r="L263" i="7"/>
  <c r="L269" i="7"/>
  <c r="L270" i="7" s="1"/>
  <c r="L262" i="7"/>
  <c r="L261" i="7"/>
  <c r="M258" i="7"/>
  <c r="D221" i="7"/>
  <c r="D223" i="7" s="1"/>
  <c r="D222" i="7"/>
  <c r="K216" i="7"/>
  <c r="L213" i="7"/>
  <c r="K220" i="7"/>
  <c r="K219" i="7"/>
  <c r="K218" i="7"/>
  <c r="K224" i="7"/>
  <c r="K225" i="7" s="1"/>
  <c r="K217" i="7"/>
  <c r="H82" i="7"/>
  <c r="H85" i="7"/>
  <c r="H84" i="7"/>
  <c r="H83" i="7"/>
  <c r="H89" i="7"/>
  <c r="H90" i="7" s="1"/>
  <c r="I78" i="7"/>
  <c r="H81" i="7"/>
  <c r="E36" i="7"/>
  <c r="E40" i="7"/>
  <c r="E42" i="7" s="1"/>
  <c r="E39" i="7"/>
  <c r="E38" i="7"/>
  <c r="E44" i="7"/>
  <c r="E37" i="7"/>
  <c r="F40" i="7"/>
  <c r="F42" i="7" s="1"/>
  <c r="F39" i="7"/>
  <c r="F38" i="7"/>
  <c r="F37" i="7"/>
  <c r="F44" i="7"/>
  <c r="F45" i="7" s="1"/>
  <c r="F36" i="7"/>
  <c r="F41" i="7" s="1"/>
  <c r="G33" i="7"/>
  <c r="D36" i="7"/>
  <c r="D40" i="7"/>
  <c r="D42" i="7" s="1"/>
  <c r="D39" i="7"/>
  <c r="D38" i="7"/>
  <c r="D37" i="7"/>
  <c r="D44" i="7"/>
  <c r="D45" i="7" s="1"/>
  <c r="E22" i="6"/>
  <c r="E23" i="6" s="1"/>
  <c r="E24" i="6" s="1"/>
  <c r="D22" i="6"/>
  <c r="D171" i="7"/>
  <c r="D172" i="7"/>
  <c r="D175" i="7"/>
  <c r="D177" i="7" s="1"/>
  <c r="D174" i="7"/>
  <c r="D173" i="7"/>
  <c r="D179" i="7"/>
  <c r="D180" i="7" s="1"/>
  <c r="F172" i="7"/>
  <c r="F171" i="7"/>
  <c r="F175" i="7"/>
  <c r="F177" i="7" s="1"/>
  <c r="F174" i="7"/>
  <c r="F173" i="7"/>
  <c r="F179" i="7"/>
  <c r="G172" i="7"/>
  <c r="G171" i="7"/>
  <c r="G175" i="7"/>
  <c r="G177" i="7" s="1"/>
  <c r="G174" i="7"/>
  <c r="G173" i="7"/>
  <c r="G179" i="7"/>
  <c r="G180" i="7" s="1"/>
  <c r="H172" i="7"/>
  <c r="H171" i="7"/>
  <c r="H175" i="7"/>
  <c r="H177" i="7" s="1"/>
  <c r="H174" i="7"/>
  <c r="H173" i="7"/>
  <c r="H179" i="7"/>
  <c r="H180" i="7" s="1"/>
  <c r="I171" i="7"/>
  <c r="I172" i="7"/>
  <c r="J168" i="7"/>
  <c r="I175" i="7"/>
  <c r="I177" i="7" s="1"/>
  <c r="I174" i="7"/>
  <c r="I173" i="7"/>
  <c r="I179" i="7"/>
  <c r="I180" i="7" s="1"/>
  <c r="E171" i="7"/>
  <c r="E172" i="7"/>
  <c r="E175" i="7"/>
  <c r="E177" i="7" s="1"/>
  <c r="E174" i="7"/>
  <c r="E173" i="7"/>
  <c r="E179" i="7"/>
  <c r="D85" i="7"/>
  <c r="D87" i="7" s="1"/>
  <c r="D84" i="7"/>
  <c r="D83" i="7"/>
  <c r="D89" i="7"/>
  <c r="D82" i="7"/>
  <c r="D81" i="7"/>
  <c r="F85" i="7"/>
  <c r="F87" i="7" s="1"/>
  <c r="F84" i="7"/>
  <c r="F82" i="7"/>
  <c r="F83" i="7"/>
  <c r="F89" i="7"/>
  <c r="F81" i="7"/>
  <c r="K13" i="6"/>
  <c r="K14" i="6"/>
  <c r="L10" i="6"/>
  <c r="K17" i="6"/>
  <c r="K16" i="6"/>
  <c r="K15" i="6"/>
  <c r="K21" i="6"/>
  <c r="K22" i="6" s="1"/>
  <c r="D107" i="6"/>
  <c r="D109" i="6" s="1"/>
  <c r="D106" i="6"/>
  <c r="D105" i="6"/>
  <c r="D111" i="6"/>
  <c r="D112" i="6" s="1"/>
  <c r="D104" i="6"/>
  <c r="D103" i="6"/>
  <c r="D108" i="6" s="1"/>
  <c r="D110" i="6" s="1"/>
  <c r="E107" i="6"/>
  <c r="E109" i="6" s="1"/>
  <c r="E106" i="6"/>
  <c r="E105" i="6"/>
  <c r="E111" i="6"/>
  <c r="E112" i="6" s="1"/>
  <c r="E104" i="6"/>
  <c r="E103" i="6"/>
  <c r="E108" i="6" s="1"/>
  <c r="E110" i="6" s="1"/>
  <c r="E113" i="6" s="1"/>
  <c r="E114" i="6" s="1"/>
  <c r="F107" i="6"/>
  <c r="F109" i="6" s="1"/>
  <c r="F106" i="6"/>
  <c r="F105" i="6"/>
  <c r="F111" i="6"/>
  <c r="F104" i="6"/>
  <c r="F103" i="6"/>
  <c r="G107" i="6"/>
  <c r="G109" i="6" s="1"/>
  <c r="G106" i="6"/>
  <c r="G105" i="6"/>
  <c r="G111" i="6"/>
  <c r="G112" i="6" s="1"/>
  <c r="G104" i="6"/>
  <c r="G103" i="6"/>
  <c r="G108" i="6" s="1"/>
  <c r="G110" i="6" s="1"/>
  <c r="G113" i="6" s="1"/>
  <c r="G114" i="6" s="1"/>
  <c r="H107" i="6"/>
  <c r="H109" i="6" s="1"/>
  <c r="H106" i="6"/>
  <c r="H105" i="6"/>
  <c r="H111" i="6"/>
  <c r="H112" i="6" s="1"/>
  <c r="H104" i="6"/>
  <c r="H103" i="6"/>
  <c r="H108" i="6" s="1"/>
  <c r="H110" i="6" s="1"/>
  <c r="H113" i="6" s="1"/>
  <c r="H114" i="6" s="1"/>
  <c r="I107" i="6"/>
  <c r="I109" i="6" s="1"/>
  <c r="I106" i="6"/>
  <c r="I105" i="6"/>
  <c r="I111" i="6"/>
  <c r="I112" i="6" s="1"/>
  <c r="I104" i="6"/>
  <c r="I103" i="6"/>
  <c r="I108" i="6" s="1"/>
  <c r="I110" i="6" s="1"/>
  <c r="I113" i="6" s="1"/>
  <c r="I114" i="6" s="1"/>
  <c r="J107" i="6"/>
  <c r="J109" i="6" s="1"/>
  <c r="J106" i="6"/>
  <c r="J105" i="6"/>
  <c r="J111" i="6"/>
  <c r="J112" i="6" s="1"/>
  <c r="J104" i="6"/>
  <c r="J103" i="6"/>
  <c r="K107" i="6"/>
  <c r="K109" i="6" s="1"/>
  <c r="K106" i="6"/>
  <c r="K105" i="6"/>
  <c r="K111" i="6"/>
  <c r="K112" i="6" s="1"/>
  <c r="K104" i="6"/>
  <c r="K103" i="6"/>
  <c r="L100" i="6"/>
  <c r="D66" i="6"/>
  <c r="D67" i="6" s="1"/>
  <c r="D58" i="6"/>
  <c r="D59" i="6"/>
  <c r="D62" i="6"/>
  <c r="D64" i="6" s="1"/>
  <c r="D61" i="6"/>
  <c r="D60" i="6"/>
  <c r="E59" i="6"/>
  <c r="E62" i="6"/>
  <c r="E64" i="6" s="1"/>
  <c r="E61" i="6"/>
  <c r="E60" i="6"/>
  <c r="E66" i="6"/>
  <c r="E67" i="6" s="1"/>
  <c r="E58" i="6"/>
  <c r="E63" i="6" s="1"/>
  <c r="E65" i="6" s="1"/>
  <c r="E68" i="6" s="1"/>
  <c r="E69" i="6" s="1"/>
  <c r="G59" i="6"/>
  <c r="G62" i="6"/>
  <c r="G64" i="6" s="1"/>
  <c r="H55" i="6"/>
  <c r="G60" i="6"/>
  <c r="G61" i="6"/>
  <c r="G66" i="6"/>
  <c r="G58" i="6"/>
  <c r="F59" i="6"/>
  <c r="F58" i="6"/>
  <c r="F62" i="6"/>
  <c r="F64" i="6" s="1"/>
  <c r="F61" i="6"/>
  <c r="F60" i="6"/>
  <c r="F66" i="6"/>
  <c r="G221" i="7"/>
  <c r="G223" i="7" s="1"/>
  <c r="H221" i="7"/>
  <c r="H223" i="7" s="1"/>
  <c r="F221" i="7"/>
  <c r="F223" i="7" s="1"/>
  <c r="E221" i="7"/>
  <c r="E223" i="7" s="1"/>
  <c r="G86" i="7"/>
  <c r="E86" i="7"/>
  <c r="E88" i="7" s="1"/>
  <c r="G18" i="6"/>
  <c r="G20" i="6" s="1"/>
  <c r="G23" i="6" s="1"/>
  <c r="G24" i="6" s="1"/>
  <c r="I18" i="6"/>
  <c r="H315" i="7"/>
  <c r="H316" i="7" s="1"/>
  <c r="H317" i="7" s="1"/>
  <c r="D18" i="6"/>
  <c r="D20" i="6" s="1"/>
  <c r="D312" i="7"/>
  <c r="D311" i="7"/>
  <c r="D313" i="7" s="1"/>
  <c r="E312" i="7"/>
  <c r="E311" i="7"/>
  <c r="E313" i="7" s="1"/>
  <c r="E316" i="7" s="1"/>
  <c r="E317" i="7" s="1"/>
  <c r="F312" i="7"/>
  <c r="F311" i="7"/>
  <c r="F313" i="7" s="1"/>
  <c r="F316" i="7" s="1"/>
  <c r="F317" i="7" s="1"/>
  <c r="G312" i="7"/>
  <c r="G311" i="7"/>
  <c r="G313" i="7" s="1"/>
  <c r="G316" i="7" s="1"/>
  <c r="G317" i="7" s="1"/>
  <c r="I128" i="7" l="1"/>
  <c r="I129" i="7"/>
  <c r="I134" i="7"/>
  <c r="I135" i="7" s="1"/>
  <c r="I127" i="7"/>
  <c r="I126" i="7"/>
  <c r="J123" i="7"/>
  <c r="I130" i="7"/>
  <c r="E225" i="7"/>
  <c r="E226" i="7" s="1"/>
  <c r="E227" i="7" s="1"/>
  <c r="D225" i="7"/>
  <c r="D226" i="7" s="1"/>
  <c r="I225" i="7"/>
  <c r="I226" i="7" s="1"/>
  <c r="I227" i="7" s="1"/>
  <c r="H225" i="7"/>
  <c r="H226" i="7" s="1"/>
  <c r="H227" i="7" s="1"/>
  <c r="G225" i="7"/>
  <c r="G226" i="7" s="1"/>
  <c r="G227" i="7" s="1"/>
  <c r="F225" i="7"/>
  <c r="F226" i="7" s="1"/>
  <c r="F227" i="7" s="1"/>
  <c r="E131" i="7"/>
  <c r="E133" i="7" s="1"/>
  <c r="E136" i="7" s="1"/>
  <c r="E137" i="7" s="1"/>
  <c r="E270" i="7"/>
  <c r="G135" i="7"/>
  <c r="G131" i="7"/>
  <c r="G133" i="7" s="1"/>
  <c r="G136" i="7" s="1"/>
  <c r="G137" i="7" s="1"/>
  <c r="F135" i="7"/>
  <c r="F131" i="7"/>
  <c r="F133" i="7" s="1"/>
  <c r="F136" i="7" s="1"/>
  <c r="F137" i="7" s="1"/>
  <c r="D131" i="7"/>
  <c r="D133" i="7" s="1"/>
  <c r="D136" i="7" s="1"/>
  <c r="H131" i="7"/>
  <c r="E266" i="7"/>
  <c r="E268" i="7" s="1"/>
  <c r="G266" i="7"/>
  <c r="G268" i="7" s="1"/>
  <c r="G270" i="7"/>
  <c r="H266" i="7"/>
  <c r="H268" i="7" s="1"/>
  <c r="H271" i="7" s="1"/>
  <c r="H272" i="7" s="1"/>
  <c r="J270" i="7"/>
  <c r="J266" i="7"/>
  <c r="J268" i="7" s="1"/>
  <c r="J271" i="7" s="1"/>
  <c r="J272" i="7" s="1"/>
  <c r="D86" i="7"/>
  <c r="D88" i="7" s="1"/>
  <c r="G67" i="6"/>
  <c r="F112" i="6"/>
  <c r="F108" i="6"/>
  <c r="F110" i="6" s="1"/>
  <c r="F113" i="6" s="1"/>
  <c r="F114" i="6" s="1"/>
  <c r="L223" i="7"/>
  <c r="K223" i="7"/>
  <c r="D318" i="7"/>
  <c r="E318" i="7" s="1"/>
  <c r="F318" i="7" s="1"/>
  <c r="G318" i="7" s="1"/>
  <c r="H318" i="7" s="1"/>
  <c r="I318" i="7" s="1"/>
  <c r="J318" i="7" s="1"/>
  <c r="K318" i="7" s="1"/>
  <c r="L318" i="7" s="1"/>
  <c r="M318" i="7" s="1"/>
  <c r="C325" i="7"/>
  <c r="D273" i="7"/>
  <c r="M312" i="7"/>
  <c r="M311" i="7"/>
  <c r="L266" i="7"/>
  <c r="M262" i="7"/>
  <c r="M265" i="7"/>
  <c r="M264" i="7"/>
  <c r="M263" i="7"/>
  <c r="M269" i="7"/>
  <c r="M270" i="7" s="1"/>
  <c r="C284" i="7"/>
  <c r="C285" i="7" s="1"/>
  <c r="M261" i="7"/>
  <c r="K221" i="7"/>
  <c r="L216" i="7"/>
  <c r="L217" i="7"/>
  <c r="M213" i="7"/>
  <c r="M223" i="7" s="1"/>
  <c r="L220" i="7"/>
  <c r="L219" i="7"/>
  <c r="L218" i="7"/>
  <c r="L224" i="7"/>
  <c r="L225" i="7" s="1"/>
  <c r="J78" i="7"/>
  <c r="I81" i="7"/>
  <c r="I85" i="7"/>
  <c r="I84" i="7"/>
  <c r="I82" i="7"/>
  <c r="I83" i="7"/>
  <c r="I89" i="7"/>
  <c r="I90" i="7" s="1"/>
  <c r="H86" i="7"/>
  <c r="F43" i="7"/>
  <c r="F46" i="7" s="1"/>
  <c r="F47" i="7" s="1"/>
  <c r="C52" i="7"/>
  <c r="G37" i="7"/>
  <c r="G40" i="7"/>
  <c r="G39" i="7"/>
  <c r="G38" i="7"/>
  <c r="G44" i="7"/>
  <c r="G45" i="7" s="1"/>
  <c r="G36" i="7"/>
  <c r="H33" i="7"/>
  <c r="J171" i="7"/>
  <c r="J172" i="7"/>
  <c r="K168" i="7"/>
  <c r="J175" i="7"/>
  <c r="J174" i="7"/>
  <c r="J173" i="7"/>
  <c r="J179" i="7"/>
  <c r="J180" i="7" s="1"/>
  <c r="E90" i="7"/>
  <c r="E91" i="7" s="1"/>
  <c r="E92" i="7" s="1"/>
  <c r="D90" i="7"/>
  <c r="D91" i="7"/>
  <c r="G90" i="7"/>
  <c r="F90" i="7"/>
  <c r="K18" i="6"/>
  <c r="L17" i="6"/>
  <c r="L16" i="6"/>
  <c r="L15" i="6"/>
  <c r="L21" i="6"/>
  <c r="L22" i="6" s="1"/>
  <c r="L13" i="6"/>
  <c r="M10" i="6"/>
  <c r="L14" i="6"/>
  <c r="D113" i="6"/>
  <c r="L107" i="6"/>
  <c r="L106" i="6"/>
  <c r="L105" i="6"/>
  <c r="L111" i="6"/>
  <c r="L112" i="6" s="1"/>
  <c r="L104" i="6"/>
  <c r="L103" i="6"/>
  <c r="M100" i="6"/>
  <c r="H58" i="6"/>
  <c r="H60" i="6"/>
  <c r="H61" i="6"/>
  <c r="H66" i="6"/>
  <c r="H67" i="6" s="1"/>
  <c r="H59" i="6"/>
  <c r="I55" i="6"/>
  <c r="H62" i="6"/>
  <c r="C277" i="7"/>
  <c r="K268" i="7"/>
  <c r="G88" i="7"/>
  <c r="C97" i="7"/>
  <c r="I20" i="6"/>
  <c r="I23" i="6" s="1"/>
  <c r="I24" i="6" s="1"/>
  <c r="C29" i="6"/>
  <c r="D23" i="6"/>
  <c r="C328" i="7"/>
  <c r="C331" i="7" s="1"/>
  <c r="D316" i="7"/>
  <c r="D317" i="7" s="1"/>
  <c r="D63" i="6"/>
  <c r="D65" i="6" s="1"/>
  <c r="M316" i="7"/>
  <c r="M317" i="7" s="1"/>
  <c r="E41" i="7"/>
  <c r="E43" i="7" s="1"/>
  <c r="E45" i="7"/>
  <c r="D176" i="7"/>
  <c r="D178" i="7" s="1"/>
  <c r="J108" i="6"/>
  <c r="J110" i="6" s="1"/>
  <c r="K108" i="6"/>
  <c r="D41" i="7"/>
  <c r="D43" i="7" s="1"/>
  <c r="F176" i="7"/>
  <c r="F178" i="7" s="1"/>
  <c r="F181" i="7" s="1"/>
  <c r="F182" i="7" s="1"/>
  <c r="F180" i="7"/>
  <c r="G176" i="7"/>
  <c r="G178" i="7" s="1"/>
  <c r="G181" i="7" s="1"/>
  <c r="G182" i="7" s="1"/>
  <c r="H176" i="7"/>
  <c r="H178" i="7" s="1"/>
  <c r="H181" i="7" s="1"/>
  <c r="H182" i="7" s="1"/>
  <c r="I176" i="7"/>
  <c r="E176" i="7"/>
  <c r="E178" i="7" s="1"/>
  <c r="E181" i="7" s="1"/>
  <c r="E182" i="7" s="1"/>
  <c r="E180" i="7"/>
  <c r="F86" i="7"/>
  <c r="F88" i="7" s="1"/>
  <c r="G63" i="6"/>
  <c r="F63" i="6"/>
  <c r="F65" i="6" s="1"/>
  <c r="F68" i="6" s="1"/>
  <c r="F69" i="6" s="1"/>
  <c r="F67" i="6"/>
  <c r="J134" i="7" l="1"/>
  <c r="J135" i="7" s="1"/>
  <c r="J129" i="7"/>
  <c r="J128" i="7"/>
  <c r="J127" i="7"/>
  <c r="J126" i="7"/>
  <c r="K123" i="7"/>
  <c r="J130" i="7"/>
  <c r="C142" i="7"/>
  <c r="H133" i="7"/>
  <c r="H136" i="7" s="1"/>
  <c r="H137" i="7" s="1"/>
  <c r="E271" i="7"/>
  <c r="G271" i="7"/>
  <c r="G272" i="7" s="1"/>
  <c r="I131" i="7"/>
  <c r="D228" i="7"/>
  <c r="E228" i="7" s="1"/>
  <c r="F228" i="7" s="1"/>
  <c r="G228" i="7" s="1"/>
  <c r="H228" i="7" s="1"/>
  <c r="I228" i="7" s="1"/>
  <c r="J228" i="7" s="1"/>
  <c r="K228" i="7" s="1"/>
  <c r="D227" i="7"/>
  <c r="D137" i="7"/>
  <c r="D138" i="7"/>
  <c r="K226" i="7"/>
  <c r="K227" i="7" s="1"/>
  <c r="K222" i="7"/>
  <c r="C324" i="7"/>
  <c r="C337" i="7"/>
  <c r="M266" i="7"/>
  <c r="L222" i="7"/>
  <c r="L221" i="7"/>
  <c r="M216" i="7"/>
  <c r="M217" i="7"/>
  <c r="M220" i="7"/>
  <c r="M219" i="7"/>
  <c r="M218" i="7"/>
  <c r="M224" i="7"/>
  <c r="M225" i="7" s="1"/>
  <c r="M226" i="7" s="1"/>
  <c r="M227" i="7" s="1"/>
  <c r="C239" i="7"/>
  <c r="C240" i="7" s="1"/>
  <c r="J82" i="7"/>
  <c r="J85" i="7"/>
  <c r="J84" i="7"/>
  <c r="J83" i="7"/>
  <c r="K78" i="7"/>
  <c r="K88" i="7" s="1"/>
  <c r="J89" i="7"/>
  <c r="J90" i="7" s="1"/>
  <c r="J81" i="7"/>
  <c r="I86" i="7"/>
  <c r="G43" i="7"/>
  <c r="H43" i="7"/>
  <c r="G41" i="7"/>
  <c r="H36" i="7"/>
  <c r="H37" i="7"/>
  <c r="H40" i="7"/>
  <c r="H39" i="7"/>
  <c r="H38" i="7"/>
  <c r="H44" i="7"/>
  <c r="H45" i="7" s="1"/>
  <c r="I33" i="7"/>
  <c r="I43" i="7" s="1"/>
  <c r="J176" i="7"/>
  <c r="K171" i="7"/>
  <c r="K172" i="7"/>
  <c r="L168" i="7"/>
  <c r="K175" i="7"/>
  <c r="K174" i="7"/>
  <c r="K173" i="7"/>
  <c r="K179" i="7"/>
  <c r="K180" i="7" s="1"/>
  <c r="L19" i="6"/>
  <c r="L18" i="6"/>
  <c r="M13" i="6"/>
  <c r="C36" i="6"/>
  <c r="C37" i="6" s="1"/>
  <c r="M17" i="6"/>
  <c r="M16" i="6"/>
  <c r="M15" i="6"/>
  <c r="M21" i="6"/>
  <c r="M22" i="6" s="1"/>
  <c r="M14" i="6"/>
  <c r="D115" i="6"/>
  <c r="D114" i="6"/>
  <c r="L108" i="6"/>
  <c r="C126" i="6"/>
  <c r="C127" i="6" s="1"/>
  <c r="M107" i="6"/>
  <c r="M106" i="6"/>
  <c r="M105" i="6"/>
  <c r="M111" i="6"/>
  <c r="M112" i="6" s="1"/>
  <c r="M104" i="6"/>
  <c r="M103" i="6"/>
  <c r="H63" i="6"/>
  <c r="I62" i="6"/>
  <c r="I61" i="6"/>
  <c r="I60" i="6"/>
  <c r="J55" i="6"/>
  <c r="I66" i="6"/>
  <c r="I67" i="6" s="1"/>
  <c r="I59" i="6"/>
  <c r="I58" i="6"/>
  <c r="M268" i="7"/>
  <c r="L268" i="7"/>
  <c r="K271" i="7"/>
  <c r="J88" i="7"/>
  <c r="I88" i="7"/>
  <c r="H88" i="7"/>
  <c r="M20" i="6"/>
  <c r="L20" i="6"/>
  <c r="L23" i="6" s="1"/>
  <c r="L24" i="6" s="1"/>
  <c r="K20" i="6"/>
  <c r="J20" i="6"/>
  <c r="D68" i="6"/>
  <c r="D181" i="7"/>
  <c r="K110" i="6"/>
  <c r="C119" i="6"/>
  <c r="D46" i="7"/>
  <c r="I178" i="7"/>
  <c r="I181" i="7" s="1"/>
  <c r="I182" i="7" s="1"/>
  <c r="C187" i="7"/>
  <c r="C74" i="6"/>
  <c r="G65" i="6"/>
  <c r="L226" i="7"/>
  <c r="E46" i="7"/>
  <c r="E47" i="7" s="1"/>
  <c r="G91" i="7"/>
  <c r="G92" i="7" s="1"/>
  <c r="E138" i="7"/>
  <c r="F138" i="7" s="1"/>
  <c r="G138" i="7" s="1"/>
  <c r="C238" i="7"/>
  <c r="C241" i="7" s="1"/>
  <c r="D92" i="7"/>
  <c r="D93" i="7"/>
  <c r="D24" i="6"/>
  <c r="D25" i="6"/>
  <c r="J113" i="6"/>
  <c r="J114" i="6" s="1"/>
  <c r="F91" i="7"/>
  <c r="F92" i="7" s="1"/>
  <c r="K128" i="7" l="1"/>
  <c r="K134" i="7"/>
  <c r="K135" i="7" s="1"/>
  <c r="K129" i="7"/>
  <c r="K127" i="7"/>
  <c r="K126" i="7"/>
  <c r="L123" i="7"/>
  <c r="L133" i="7" s="1"/>
  <c r="K130" i="7"/>
  <c r="K133" i="7"/>
  <c r="J133" i="7"/>
  <c r="I133" i="7"/>
  <c r="E273" i="7"/>
  <c r="F273" i="7" s="1"/>
  <c r="G273" i="7" s="1"/>
  <c r="H273" i="7" s="1"/>
  <c r="I273" i="7" s="1"/>
  <c r="J273" i="7" s="1"/>
  <c r="E272" i="7"/>
  <c r="H138" i="7"/>
  <c r="J131" i="7"/>
  <c r="C283" i="7"/>
  <c r="C286" i="7" s="1"/>
  <c r="C327" i="7"/>
  <c r="C332" i="7" s="1"/>
  <c r="C335" i="7" s="1"/>
  <c r="C336" i="7" s="1"/>
  <c r="C338" i="7"/>
  <c r="C339" i="7" s="1"/>
  <c r="H18" i="7"/>
  <c r="H19" i="7"/>
  <c r="H20" i="7"/>
  <c r="H21" i="7"/>
  <c r="H22" i="7"/>
  <c r="H23" i="7"/>
  <c r="M271" i="7"/>
  <c r="M272" i="7" s="1"/>
  <c r="M267" i="7"/>
  <c r="I91" i="7"/>
  <c r="I92" i="7" s="1"/>
  <c r="I87" i="7"/>
  <c r="M222" i="7"/>
  <c r="M221" i="7"/>
  <c r="K81" i="7"/>
  <c r="K89" i="7"/>
  <c r="K90" i="7" s="1"/>
  <c r="K91" i="7" s="1"/>
  <c r="K92" i="7" s="1"/>
  <c r="L78" i="7"/>
  <c r="K82" i="7"/>
  <c r="K85" i="7"/>
  <c r="K84" i="7"/>
  <c r="K83" i="7"/>
  <c r="J87" i="7"/>
  <c r="J86" i="7"/>
  <c r="H42" i="7"/>
  <c r="H41" i="7"/>
  <c r="I37" i="7"/>
  <c r="I40" i="7"/>
  <c r="I39" i="7"/>
  <c r="I38" i="7"/>
  <c r="I44" i="7"/>
  <c r="I45" i="7" s="1"/>
  <c r="I46" i="7" s="1"/>
  <c r="I47" i="7" s="1"/>
  <c r="I36" i="7"/>
  <c r="J33" i="7"/>
  <c r="K176" i="7"/>
  <c r="L175" i="7"/>
  <c r="L174" i="7"/>
  <c r="L173" i="7"/>
  <c r="L179" i="7"/>
  <c r="L180" i="7" s="1"/>
  <c r="M168" i="7"/>
  <c r="M178" i="7" s="1"/>
  <c r="L171" i="7"/>
  <c r="L172" i="7"/>
  <c r="M19" i="6"/>
  <c r="M18" i="6"/>
  <c r="E115" i="6"/>
  <c r="M108" i="6"/>
  <c r="J66" i="6"/>
  <c r="J67" i="6" s="1"/>
  <c r="K55" i="6"/>
  <c r="K65" i="6" s="1"/>
  <c r="J62" i="6"/>
  <c r="J61" i="6"/>
  <c r="J60" i="6"/>
  <c r="J59" i="6"/>
  <c r="J58" i="6"/>
  <c r="I63" i="6"/>
  <c r="L267" i="7"/>
  <c r="L271" i="7"/>
  <c r="L272" i="7" s="1"/>
  <c r="K273" i="7"/>
  <c r="K272" i="7"/>
  <c r="H87" i="7"/>
  <c r="H91" i="7"/>
  <c r="H92" i="7" s="1"/>
  <c r="K19" i="6"/>
  <c r="K23" i="6"/>
  <c r="K24" i="6" s="1"/>
  <c r="C35" i="6"/>
  <c r="C38" i="6" s="1"/>
  <c r="B9" i="7" s="1"/>
  <c r="J19" i="6"/>
  <c r="J23" i="6"/>
  <c r="J24" i="6" s="1"/>
  <c r="D70" i="6"/>
  <c r="D69" i="6"/>
  <c r="D183" i="7"/>
  <c r="D182" i="7"/>
  <c r="L110" i="6"/>
  <c r="M110" i="6"/>
  <c r="D48" i="7"/>
  <c r="D47" i="7"/>
  <c r="L178" i="7"/>
  <c r="K178" i="7"/>
  <c r="J178" i="7"/>
  <c r="H65" i="6"/>
  <c r="J65" i="6"/>
  <c r="I65" i="6"/>
  <c r="L228" i="7"/>
  <c r="L227" i="7"/>
  <c r="E93" i="7"/>
  <c r="E25" i="6"/>
  <c r="H46" i="7"/>
  <c r="H47" i="7" s="1"/>
  <c r="J91" i="7"/>
  <c r="J92" i="7" s="1"/>
  <c r="M23" i="6"/>
  <c r="M24" i="6" s="1"/>
  <c r="G46" i="7"/>
  <c r="G47" i="7" s="1"/>
  <c r="G42" i="7"/>
  <c r="K113" i="6"/>
  <c r="K114" i="6" s="1"/>
  <c r="G68" i="6"/>
  <c r="G69" i="6" s="1"/>
  <c r="K132" i="7" l="1"/>
  <c r="K131" i="7"/>
  <c r="L128" i="7"/>
  <c r="L130" i="7"/>
  <c r="L129" i="7"/>
  <c r="L134" i="7"/>
  <c r="L135" i="7" s="1"/>
  <c r="L136" i="7" s="1"/>
  <c r="L137" i="7" s="1"/>
  <c r="L127" i="7"/>
  <c r="L126" i="7"/>
  <c r="L132" i="7" s="1"/>
  <c r="M123" i="7"/>
  <c r="J132" i="7"/>
  <c r="J136" i="7"/>
  <c r="J137" i="7" s="1"/>
  <c r="I136" i="7"/>
  <c r="I132" i="7"/>
  <c r="K136" i="7"/>
  <c r="K137" i="7" s="1"/>
  <c r="C125" i="6"/>
  <c r="C128" i="6" s="1"/>
  <c r="D9" i="7" s="1"/>
  <c r="M113" i="6"/>
  <c r="M114" i="6" s="1"/>
  <c r="M109" i="6"/>
  <c r="K181" i="7"/>
  <c r="K182" i="7" s="1"/>
  <c r="K177" i="7"/>
  <c r="I68" i="6"/>
  <c r="I69" i="6" s="1"/>
  <c r="I64" i="6"/>
  <c r="K87" i="7"/>
  <c r="K86" i="7"/>
  <c r="L88" i="7"/>
  <c r="L85" i="7"/>
  <c r="L82" i="7"/>
  <c r="L84" i="7"/>
  <c r="L83" i="7"/>
  <c r="L81" i="7"/>
  <c r="L89" i="7"/>
  <c r="L90" i="7" s="1"/>
  <c r="M78" i="7"/>
  <c r="I42" i="7"/>
  <c r="I41" i="7"/>
  <c r="J43" i="7"/>
  <c r="J37" i="7"/>
  <c r="J40" i="7"/>
  <c r="J39" i="7"/>
  <c r="J36" i="7"/>
  <c r="J38" i="7"/>
  <c r="J44" i="7"/>
  <c r="J45" i="7" s="1"/>
  <c r="K33" i="7"/>
  <c r="M171" i="7"/>
  <c r="M172" i="7"/>
  <c r="M175" i="7"/>
  <c r="M174" i="7"/>
  <c r="M173" i="7"/>
  <c r="C194" i="7"/>
  <c r="C195" i="7" s="1"/>
  <c r="M179" i="7"/>
  <c r="M180" i="7" s="1"/>
  <c r="M181" i="7" s="1"/>
  <c r="M182" i="7" s="1"/>
  <c r="L177" i="7"/>
  <c r="L176" i="7"/>
  <c r="K59" i="6"/>
  <c r="K58" i="6"/>
  <c r="K62" i="6"/>
  <c r="L55" i="6"/>
  <c r="K61" i="6"/>
  <c r="K60" i="6"/>
  <c r="K66" i="6"/>
  <c r="K67" i="6" s="1"/>
  <c r="J64" i="6"/>
  <c r="J63" i="6"/>
  <c r="L273" i="7"/>
  <c r="C292" i="7"/>
  <c r="C279" i="7"/>
  <c r="E70" i="6"/>
  <c r="E183" i="7"/>
  <c r="L109" i="6"/>
  <c r="L113" i="6"/>
  <c r="E48" i="7"/>
  <c r="C193" i="7"/>
  <c r="J177" i="7"/>
  <c r="J181" i="7"/>
  <c r="J182" i="7" s="1"/>
  <c r="H64" i="6"/>
  <c r="H68" i="6"/>
  <c r="H69" i="6" s="1"/>
  <c r="M228" i="7"/>
  <c r="C235" i="7" s="1"/>
  <c r="C247" i="7"/>
  <c r="C234" i="7"/>
  <c r="L181" i="7"/>
  <c r="L182" i="7" s="1"/>
  <c r="J68" i="6"/>
  <c r="J69" i="6" s="1"/>
  <c r="F115" i="6"/>
  <c r="G115" i="6" s="1"/>
  <c r="H115" i="6" s="1"/>
  <c r="I115" i="6" s="1"/>
  <c r="J115" i="6" s="1"/>
  <c r="K115" i="6" s="1"/>
  <c r="K68" i="6"/>
  <c r="K69" i="6" s="1"/>
  <c r="C44" i="6"/>
  <c r="C31" i="6"/>
  <c r="F93" i="7"/>
  <c r="G93" i="7" s="1"/>
  <c r="H93" i="7" s="1"/>
  <c r="F25" i="6"/>
  <c r="G25" i="6" s="1"/>
  <c r="H25" i="6" s="1"/>
  <c r="I25" i="6" s="1"/>
  <c r="J25" i="6" s="1"/>
  <c r="M133" i="7" l="1"/>
  <c r="C149" i="7"/>
  <c r="C150" i="7" s="1"/>
  <c r="M128" i="7"/>
  <c r="M129" i="7"/>
  <c r="M134" i="7"/>
  <c r="M135" i="7" s="1"/>
  <c r="M127" i="7"/>
  <c r="M126" i="7"/>
  <c r="M130" i="7"/>
  <c r="I137" i="7"/>
  <c r="I138" i="7"/>
  <c r="L131" i="7"/>
  <c r="C196" i="7"/>
  <c r="L91" i="7"/>
  <c r="L87" i="7"/>
  <c r="L86" i="7"/>
  <c r="M88" i="7"/>
  <c r="C103" i="7" s="1"/>
  <c r="C106" i="7" s="1"/>
  <c r="C104" i="7"/>
  <c r="C105" i="7" s="1"/>
  <c r="M81" i="7"/>
  <c r="M82" i="7"/>
  <c r="M85" i="7"/>
  <c r="M84" i="7"/>
  <c r="M83" i="7"/>
  <c r="M89" i="7"/>
  <c r="M90" i="7" s="1"/>
  <c r="J46" i="7"/>
  <c r="J42" i="7"/>
  <c r="J41" i="7"/>
  <c r="K43" i="7"/>
  <c r="K40" i="7"/>
  <c r="K39" i="7"/>
  <c r="K36" i="7"/>
  <c r="K38" i="7"/>
  <c r="K37" i="7"/>
  <c r="K44" i="7"/>
  <c r="K45" i="7" s="1"/>
  <c r="L33" i="7"/>
  <c r="M177" i="7"/>
  <c r="M176" i="7"/>
  <c r="K64" i="6"/>
  <c r="K63" i="6"/>
  <c r="L65" i="6"/>
  <c r="L60" i="6"/>
  <c r="M55" i="6"/>
  <c r="L61" i="6"/>
  <c r="L66" i="6"/>
  <c r="L67" i="6" s="1"/>
  <c r="L59" i="6"/>
  <c r="L58" i="6"/>
  <c r="L62" i="6"/>
  <c r="G23" i="7"/>
  <c r="G22" i="7"/>
  <c r="G21" i="7"/>
  <c r="G20" i="7"/>
  <c r="G19" i="7"/>
  <c r="G18" i="7"/>
  <c r="C293" i="7"/>
  <c r="C294" i="7" s="1"/>
  <c r="C282" i="7"/>
  <c r="C287" i="7" s="1"/>
  <c r="C290" i="7" s="1"/>
  <c r="C291" i="7" s="1"/>
  <c r="L115" i="6"/>
  <c r="L114" i="6"/>
  <c r="F23" i="7"/>
  <c r="F22" i="7"/>
  <c r="F21" i="7"/>
  <c r="F20" i="7"/>
  <c r="F19" i="7"/>
  <c r="F18" i="7"/>
  <c r="C248" i="7"/>
  <c r="C249" i="7" s="1"/>
  <c r="C237" i="7"/>
  <c r="C242" i="7" s="1"/>
  <c r="C245" i="7" s="1"/>
  <c r="C246" i="7" s="1"/>
  <c r="C45" i="6"/>
  <c r="C46" i="6" s="1"/>
  <c r="B6" i="7"/>
  <c r="C34" i="6"/>
  <c r="M273" i="7"/>
  <c r="C280" i="7"/>
  <c r="F70" i="6"/>
  <c r="G70" i="6" s="1"/>
  <c r="H70" i="6" s="1"/>
  <c r="I70" i="6" s="1"/>
  <c r="J70" i="6" s="1"/>
  <c r="K70" i="6" s="1"/>
  <c r="F183" i="7"/>
  <c r="G183" i="7" s="1"/>
  <c r="H183" i="7" s="1"/>
  <c r="I183" i="7" s="1"/>
  <c r="J183" i="7" s="1"/>
  <c r="K183" i="7" s="1"/>
  <c r="L183" i="7" s="1"/>
  <c r="M183" i="7" s="1"/>
  <c r="C190" i="7"/>
  <c r="F48" i="7"/>
  <c r="G48" i="7" s="1"/>
  <c r="H48" i="7" s="1"/>
  <c r="I48" i="7" s="1"/>
  <c r="C189" i="7"/>
  <c r="C202" i="7"/>
  <c r="K25" i="6"/>
  <c r="L25" i="6" s="1"/>
  <c r="M25" i="6" s="1"/>
  <c r="C32" i="6"/>
  <c r="I93" i="7"/>
  <c r="J93" i="7" s="1"/>
  <c r="K93" i="7" s="1"/>
  <c r="C148" i="7" l="1"/>
  <c r="C151" i="7" s="1"/>
  <c r="M136" i="7"/>
  <c r="M137" i="7" s="1"/>
  <c r="M132" i="7"/>
  <c r="M131" i="7"/>
  <c r="C157" i="7"/>
  <c r="C144" i="7"/>
  <c r="J138" i="7"/>
  <c r="K138" i="7" s="1"/>
  <c r="L138" i="7" s="1"/>
  <c r="M138" i="7" s="1"/>
  <c r="C145" i="7"/>
  <c r="L93" i="7"/>
  <c r="L92" i="7"/>
  <c r="M87" i="7"/>
  <c r="M86" i="7"/>
  <c r="J48" i="7"/>
  <c r="J47" i="7"/>
  <c r="K42" i="7"/>
  <c r="K41" i="7"/>
  <c r="L43" i="7"/>
  <c r="L37" i="7"/>
  <c r="L40" i="7"/>
  <c r="L39" i="7"/>
  <c r="L38" i="7"/>
  <c r="L36" i="7"/>
  <c r="L44" i="7"/>
  <c r="L45" i="7" s="1"/>
  <c r="M33" i="7"/>
  <c r="L68" i="6"/>
  <c r="M65" i="6"/>
  <c r="C80" i="6" s="1"/>
  <c r="C83" i="6" s="1"/>
  <c r="C9" i="7" s="1"/>
  <c r="M59" i="6"/>
  <c r="C81" i="6"/>
  <c r="C82" i="6" s="1"/>
  <c r="M66" i="6"/>
  <c r="M67" i="6" s="1"/>
  <c r="M58" i="6"/>
  <c r="M62" i="6"/>
  <c r="M61" i="6"/>
  <c r="M60" i="6"/>
  <c r="L64" i="6"/>
  <c r="L63" i="6"/>
  <c r="C122" i="6"/>
  <c r="M115" i="6"/>
  <c r="C134" i="6"/>
  <c r="C121" i="6"/>
  <c r="C39" i="6"/>
  <c r="B8" i="7"/>
  <c r="C192" i="7"/>
  <c r="C197" i="7" s="1"/>
  <c r="C200" i="7" s="1"/>
  <c r="C201" i="7" s="1"/>
  <c r="C203" i="7"/>
  <c r="C204" i="7" s="1"/>
  <c r="E18" i="7"/>
  <c r="E19" i="7"/>
  <c r="E20" i="7"/>
  <c r="E21" i="7"/>
  <c r="E22" i="7"/>
  <c r="E23" i="7"/>
  <c r="M91" i="7"/>
  <c r="M92" i="7" s="1"/>
  <c r="K46" i="7"/>
  <c r="K47" i="7" s="1"/>
  <c r="D23" i="7" l="1"/>
  <c r="D22" i="7"/>
  <c r="D21" i="7"/>
  <c r="D20" i="7"/>
  <c r="D19" i="7"/>
  <c r="D18" i="7"/>
  <c r="C158" i="7"/>
  <c r="C159" i="7" s="1"/>
  <c r="C147" i="7"/>
  <c r="C152" i="7" s="1"/>
  <c r="C155" i="7" s="1"/>
  <c r="C156" i="7" s="1"/>
  <c r="C112" i="7"/>
  <c r="C99" i="7"/>
  <c r="K48" i="7"/>
  <c r="L42" i="7"/>
  <c r="L41" i="7"/>
  <c r="M43" i="7"/>
  <c r="M37" i="7"/>
  <c r="M36" i="7"/>
  <c r="M40" i="7"/>
  <c r="M39" i="7"/>
  <c r="M38" i="7"/>
  <c r="M44" i="7"/>
  <c r="M45" i="7" s="1"/>
  <c r="C59" i="7"/>
  <c r="C60" i="7" s="1"/>
  <c r="L70" i="6"/>
  <c r="L69" i="6"/>
  <c r="M64" i="6"/>
  <c r="M63" i="6"/>
  <c r="C124" i="6"/>
  <c r="C135" i="6"/>
  <c r="C136" i="6" s="1"/>
  <c r="D6" i="7"/>
  <c r="C42" i="6"/>
  <c r="B10" i="7"/>
  <c r="C8" i="1" s="1"/>
  <c r="M93" i="7"/>
  <c r="C100" i="7" s="1"/>
  <c r="L46" i="7"/>
  <c r="L47" i="7" s="1"/>
  <c r="M68" i="6"/>
  <c r="M69" i="6" s="1"/>
  <c r="L48" i="7" l="1"/>
  <c r="C23" i="7"/>
  <c r="C22" i="7"/>
  <c r="C21" i="7"/>
  <c r="C20" i="7"/>
  <c r="C19" i="7"/>
  <c r="C18" i="7"/>
  <c r="C113" i="7"/>
  <c r="C114" i="7" s="1"/>
  <c r="C102" i="7"/>
  <c r="C107" i="7" s="1"/>
  <c r="C110" i="7" s="1"/>
  <c r="C111" i="7" s="1"/>
  <c r="C58" i="7"/>
  <c r="C61" i="7" s="1"/>
  <c r="M46" i="7"/>
  <c r="M42" i="7"/>
  <c r="M41" i="7"/>
  <c r="C77" i="6"/>
  <c r="M70" i="6"/>
  <c r="C89" i="6"/>
  <c r="C76" i="6"/>
  <c r="C129" i="6"/>
  <c r="D8" i="7"/>
  <c r="C43" i="6"/>
  <c r="B13" i="7" s="1"/>
  <c r="C11" i="1" s="1"/>
  <c r="B12" i="7"/>
  <c r="C10" i="1" s="1"/>
  <c r="M48" i="7" l="1"/>
  <c r="C55" i="7" s="1"/>
  <c r="M47" i="7"/>
  <c r="C90" i="6"/>
  <c r="C91" i="6" s="1"/>
  <c r="C79" i="6"/>
  <c r="C6" i="7"/>
  <c r="C132" i="6"/>
  <c r="D10" i="7"/>
  <c r="C54" i="7" l="1"/>
  <c r="C67" i="7"/>
  <c r="C84" i="6"/>
  <c r="C8" i="7"/>
  <c r="C133" i="6"/>
  <c r="D13" i="7" s="1"/>
  <c r="D12" i="7"/>
  <c r="B23" i="7" l="1"/>
  <c r="B22" i="7"/>
  <c r="B21" i="7"/>
  <c r="B20" i="7"/>
  <c r="B19" i="7"/>
  <c r="B18" i="7"/>
  <c r="C57" i="7"/>
  <c r="C62" i="7" s="1"/>
  <c r="C65" i="7" s="1"/>
  <c r="C66" i="7" s="1"/>
  <c r="C68" i="7"/>
  <c r="C69" i="7" s="1"/>
  <c r="C87" i="6"/>
  <c r="C10" i="7"/>
  <c r="C88" i="6" l="1"/>
  <c r="C13" i="7" s="1"/>
  <c r="C12" i="7"/>
</calcChain>
</file>

<file path=xl/sharedStrings.xml><?xml version="1.0" encoding="utf-8"?>
<sst xmlns="http://schemas.openxmlformats.org/spreadsheetml/2006/main" count="6175" uniqueCount="2562">
  <si>
    <t>Buy or Build</t>
  </si>
  <si>
    <t>Consolidation in Indian consumer brands: evidence workbook</t>
  </si>
  <si>
    <t>Consumer Brands Research · Prepared by Priyanshi Paul · October 2026</t>
  </si>
  <si>
    <t>Headline results (live, linked to the model)</t>
  </si>
  <si>
    <t>Price paid at completion, 90.5% of Minimalist</t>
  </si>
  <si>
    <t>HUL completion filing, 2025-04-21 (see Conflicts #1)</t>
  </si>
  <si>
    <t>Risk-adjusted build-equivalent cost (base)</t>
  </si>
  <si>
    <t>PV of burn ÷ P(success) + cost of delay</t>
  </si>
  <si>
    <t>Buy all-in cost, 100% (base)</t>
  </si>
  <si>
    <t>Price + last 9.5% + transaction + integration − cash acquired</t>
  </si>
  <si>
    <t>Breakeven price for 90.5% (base)</t>
  </si>
  <si>
    <t>Above this, buying stops making sense</t>
  </si>
  <si>
    <t>Headroom vs price paid (base)</t>
  </si>
  <si>
    <t>Positive = buying was cheaper</t>
  </si>
  <si>
    <t>P(success) of an in-house build (base)</t>
  </si>
  <si>
    <t>Laplace estimate from 0 of 7 FMCG digital-first builds (Base_Rates c)</t>
  </si>
  <si>
    <t>Years from decision to ₹347 Cr (base)</t>
  </si>
  <si>
    <t>Bull 5 · Bear 9</t>
  </si>
  <si>
    <t>Dataset at a glance</t>
  </si>
  <si>
    <t>Acquisitions (Tab A)</t>
  </si>
  <si>
    <t>Listed parents, 2020 onward</t>
  </si>
  <si>
    <t>In-house builds (Tab B)</t>
  </si>
  <si>
    <t>Core (2020+) and calibration (pre-2020) rows</t>
  </si>
  <si>
    <t>Sources logged</t>
  </si>
  <si>
    <t>Exchange filings and annual reports first</t>
  </si>
  <si>
    <t>AI claims checked</t>
  </si>
  <si>
    <t>Every figure recalled from model memory, verified against a source</t>
  </si>
  <si>
    <t>Annual-report brand mentions tracked</t>
  </si>
  <si>
    <t>Brand × parent × FY rows, FY20–FY26</t>
  </si>
  <si>
    <t>Tabs (click to open)</t>
  </si>
  <si>
    <t>Source tiers</t>
  </si>
  <si>
    <t>Confidence rules</t>
  </si>
  <si>
    <t>High</t>
  </si>
  <si>
    <t>A T1 source with a verbatim quote.</t>
  </si>
  <si>
    <t>Medium</t>
  </si>
  <si>
    <t>A T2 source, or two independent T3 sources that agree.</t>
  </si>
  <si>
    <t>Low</t>
  </si>
  <si>
    <t>A single T3 source, or a derived or inferred value.</t>
  </si>
  <si>
    <t>UNCONFIRMED</t>
  </si>
  <si>
    <t>Value left blank with the reason in notes; never estimated silently.</t>
  </si>
  <si>
    <t>Conventions</t>
  </si>
  <si>
    <t>1,000</t>
  </si>
  <si>
    <t>Blue font = hard-coded input (edit these on Assumptions)</t>
  </si>
  <si>
    <t>formula output</t>
  </si>
  <si>
    <t>Yellow fill = live formula output</t>
  </si>
  <si>
    <t>₹ Cr · ISO dates</t>
  </si>
  <si>
    <t>All money in ₹ crore; FY24 = Apr 2023 to Mar 2024; revenue basis recorded per row</t>
  </si>
  <si>
    <t>Conflicts</t>
  </si>
  <si>
    <t>Resolved in favour of the most authoritative source; every figure and what it measures is kept</t>
  </si>
  <si>
    <t>route</t>
  </si>
  <si>
    <t>row_type</t>
  </si>
  <si>
    <t>parent</t>
  </si>
  <si>
    <t>brand</t>
  </si>
  <si>
    <t>category</t>
  </si>
  <si>
    <t>year_start</t>
  </si>
  <si>
    <t>consideration_inr_cr</t>
  </si>
  <si>
    <t>stake_pct</t>
  </si>
  <si>
    <t>deal_structure</t>
  </si>
  <si>
    <t>revenue_inr_cr</t>
  </si>
  <si>
    <t>revenue_fy</t>
  </si>
  <si>
    <t>revenue_basis</t>
  </si>
  <si>
    <t>revenue_multiple</t>
  </si>
  <si>
    <t>what_was_acquired</t>
  </si>
  <si>
    <t>vocab_rationale</t>
  </si>
  <si>
    <t>status_today</t>
  </si>
  <si>
    <t>status_evidence</t>
  </si>
  <si>
    <t>source_url</t>
  </si>
  <si>
    <t>source_ids</t>
  </si>
  <si>
    <t>date_accessed</t>
  </si>
  <si>
    <t>confidence</t>
  </si>
  <si>
    <t>notes</t>
  </si>
  <si>
    <t>Buy</t>
  </si>
  <si>
    <t>core</t>
  </si>
  <si>
    <t>Hindustan Unilever Ltd</t>
  </si>
  <si>
    <t>Minimalist (Uprising Science Pvt Ltd)</t>
  </si>
  <si>
    <t>BPC-Skincare</t>
  </si>
  <si>
    <t>outright_majority</t>
  </si>
  <si>
    <t>FY24</t>
  </si>
  <si>
    <t>turnover as stated in Reg 30 annexure ("turnover of the Business"); not labelled ops vs total income</t>
  </si>
  <si>
    <t>COHORT_EQUITY</t>
  </si>
  <si>
    <t>HUL already sold skincare (Pond's, Lakme, Glow &amp; Lovely); Minimalist brought the actives-led, digital-first premium cohort HUL lacked ('higher growth demand spaces').</t>
  </si>
  <si>
    <t>Subsidiary since 2025-04-21; founders Mohit &amp; Rahul Yadav continue to run it; balance 9.5% to be acquired</t>
  </si>
  <si>
    <t>S002: 'Uprising and its subsidiaries have become subsidiaries of the Company'; S006: 'The current Minimalist team led by Mohit and Rahul will continue to operate the business'</t>
  </si>
  <si>
    <t>https://www.bseindia.com/xml-data/corpfiling/AttachHis/7ecb9005-13d6-4ea3-8cad-7fe05bffd54e.pdf</t>
  </si>
  <si>
    <t>S007;S002;S006</t>
  </si>
  <si>
    <t>2026-10-10</t>
  </si>
  <si>
    <t>Announced 2025-01-22 (S007 p.1: 'secondary buyout for a cash consideration of INR 2670 crores at a pre-money Enterprise Valuation of INR 2955 crores (subject to adjustments as set out in the SPSA) and a primary infusion of INR 45 crores'); CCI approval 2025-03-17; completed 2025-04-21 for total cash consideration 'INR 2,706,44,95,728' incl. primary (S002 p.1) = INR 2,706.45 Cr (press rounds down to 2,706.44). consideration_inr_cr uses the completion figure. Turnover S007 p.3: 'FY 2021-22: INR 103 Crores / FY 2022-23: INR 184 Crores / FY 2023-24: INR 347 Crores'; ARR &gt;INR 500 Cr (Dec-24 quarter, unaudited). D5 check: '~347 Cr turnover' CONFIRMED against the filing; filing calls it 'turnover', Entrackr calls it 'revenue' (same number). Remaining 9.5% 'with eventual acquisition'; press release: 'path to acquire the balance stake in two years'. Multiple on EV basis = 2955/347 = 8.5x. See conflicts.md (2,670 vs 2,706.44 vs 2,955).</t>
  </si>
  <si>
    <t>OZiva (Zywie Ventures Pvt Ltd)</t>
  </si>
  <si>
    <t>Wellness-Nutrition&amp;Supplements</t>
  </si>
  <si>
    <t>FY22</t>
  </si>
  <si>
    <t>revenue_from_operations ('turnover from operations')</t>
  </si>
  <si>
    <t>CATEGORY_ENTRY</t>
  </si>
  <si>
    <t>Filing calls it entry into Health &amp; Wellbeing (VMS/plant protein), a category where HUL had no supplements business (Horlicks/Boost are health food drinks).</t>
  </si>
  <si>
    <t>Wholly owned since 2026-02-13; balance 49% bought for INR 824 Cr; FY25 turnover INR 257.67 Cr (2.1x FY22)</t>
  </si>
  <si>
    <t>S003: 'completed the acquisition' of 'the balance stake of 49%... for a total consideration of INR 824 Crores'; S009: 'turnover from operations of INR 257.67 Crores for the financial year 2024-2025'</t>
  </si>
  <si>
    <t>https://www.bseindia.com/xml-data/corpfiling/AttachHis/a9bee337-d3ac-428e-b3eb-9fe3bf141942.pdf</t>
  </si>
  <si>
    <t>S008;S005;S009;S003;S001</t>
  </si>
  <si>
    <t>Announced 2022-12-08 (S008): agreement to acquire 100% in 2 tranches; 'Total consideration for acquisition of the first tranche: INR 264.28 Crores'; 51% first tranche, 'Balance 49.00%... after the expiry of a period of 3 years'. Completed first tranche 2023-01-11 (S005), so year_start=2023 (announced 2022). Turnover S008 p.2: 'turnover from operations of INR 124.17 Crores for the financial year 2021-2022'. Second tranche approved 2026-02-12 (S009) and completed 2026-02-13 (S003) at INR 824 Cr for 49%: implied 100% value ~INR 1,682 Cr vs ~INR 518 Cr at first tranche (264.28/0.51, post-money incl. primary). deal_structure = outright_majority (51% at first completion; contracted top-up noted, not reclassified per D6).</t>
  </si>
  <si>
    <t>Wellbeing Nutrition (Nutritionalab Pvt Ltd)</t>
  </si>
  <si>
    <t>minority_no_path</t>
  </si>
  <si>
    <t>turnover as stated in Reg 30 annexure; not labelled ops vs total income</t>
  </si>
  <si>
    <t>Same filing language as OZiva: 'Strategic investment to enter the Health &amp; Wellbeing category'.</t>
  </si>
  <si>
    <t>EXITED: HUL sold entire 19.8% to USV Pvt Ltd for ~INR 307 Cr (completed 2026-03-04); FY25 revenue from ops INR 118.48 Cr</t>
  </si>
  <si>
    <t>S011: 'completed the sale of its entire shareholding in Nutritionalab, for a total consideration of approx. INR 307 Crores'; S009 Annexure 2: 'revenue from operations of Nutritionalab... for the financial year 2024-25 is INR 118.48 crores'</t>
  </si>
  <si>
    <t>https://bseindia.com/xml-data/corpfiling/AttachHis/52af87d5-25a4-45c8-aad3-78626bd1a474.pdf</t>
  </si>
  <si>
    <t>S001;S012;S009;S011</t>
  </si>
  <si>
    <t>Announced 2022-12-08 (S001 p.3: 'INR 70.00 Crores for the acquisition of proposed stake'; 'agreed to acquire 19.8% shareholding'); completed 2023-01-04 (S012). Turnover S001 p.3: FY22 19.40 / FY21 5.33 / FY20 2.14 (INR Cr). Accounted as a joint venture under the equity method (S009). deal_structure = minority_no_path (added in D12): a 19.8% stake with no disclosed option or schedule to increase; minority_with_path needs rights to increase, and none were found. Arguably an investment, not an acquisition; kept as a core row because it shows the exit route (bought 70, sold ~307 = ~4.4x in ~3 years).</t>
  </si>
  <si>
    <t>ITC Ltd</t>
  </si>
  <si>
    <t>Yoga Bar (Sproutlife Foods Pvt Ltd)</t>
  </si>
  <si>
    <t>Food-Snacks&amp;Bars</t>
  </si>
  <si>
    <t>staged_to_control</t>
  </si>
  <si>
    <t>turnover as stated in Reg 30 enclosure; not labelled ops vs total income</t>
  </si>
  <si>
    <t>ITC already sold packaged snacks/biscuits; filing says the deal adds 'innovative food products for health conscious consumers' via a digital-first brand, a cohort ITC lacked.</t>
  </si>
  <si>
    <t>Wholly owned since 2026-09-28; subsidiary (board control) from 2026-04-01; turnover FY26 INR 452 Cr (6.6x FY22)</t>
  </si>
  <si>
    <t>S031: 'the Company now holds 100% of the entire share capital of Sproutlife'; 'Cost of acquisition... ~ ₹ 645 crores'; 'turnover (based on audited accounts) 2025-26 INR 452 crores 2024-25 INR 200 crores 2023-24 INR 108 crores'</t>
  </si>
  <si>
    <t>https://www.bseindia.com/xml-data/corpfiling/AttachHis/2919b815-f54c-41e2-894d-65994e51f770.pdf</t>
  </si>
  <si>
    <t>S013;S014;S015;S016;S017;S030;S031</t>
  </si>
  <si>
    <t>Term sheet 2023-01-17 (S013); SSPA executed 2023-04-19 (S014); first tranche completed 2023-05-04: 'aggregate consideration of Rs. 175 crores... aggregates 39.42%' (S015). Plan (S013 Annexure): 175 Cr for 39.4% + 80 Cr primary by Mar-2025 to reach 47.5%, balance to 100% on pre-agreed valuation criteria. Path - all stakes are stated 'on a fully diluted basis'; no undiluted figure is disclosed. 44.74% and 47.50% are NOT separate deals: they are the two primary-infusion steps of the ~Rs 80 Cr agreed up-front in the term sheet (S013 Annexure: 'Acquisition of 47.5%... Initial Investment of Rs 175 crores... for acquisition of 39.4%... Further infusion of Rs 80 crores will be made through primary subscription, in one or more tranches, by 31st March, 2025... based on pre-agreed pre-money valuation'). Step 1, 2024-03-11 (S016): 2,356 CCPS for '~ Rs. 50 crores' -&gt; 'aggregates 44.74%... (on a fully diluted basis) at a total investment of ~ Rs. 225 crores'. Step 2, 2024-09-25 (S017): 1,413 CCPS for '~ Rs. 30 crores' -&gt; 'aggregates ~ 47.50%... at a total investment of ~ Rs. 255 crores'. CONTROL AT SUB-50% (the study's note): on 2026-04-01, still at ~47.50%, ITC 'acquired the right to nominate majority of the Directors on the Board of Sproutlife' under the 2023 SHA, so Sproutlife became a subsidiary under Section 2(87)(i) (S030). The 52.5% = 100% - 47.50%: bought 2026-09-28 from the remaining holders by secondary purchase for '~ ₹ 645 crores', taking ITC 'from ~ 47.50% to 100%' (S031). Total cost of 100% ~INR 900 Cr. Implied 100% value at first tranche ~444 Cr (post-money) vs ~1,358 Cr at the final tranche (645/0.525). Turnover S013 p.4: '2021-22 Rs 68 crores 2020-21 Rs 39 crores 2019-20 Rs 32 crores'.</t>
  </si>
  <si>
    <t>Mother Sparsh (Mother Sparsh Baby Care Pvt Ltd)</t>
  </si>
  <si>
    <t>BPC-Baby&amp;Mother</t>
  </si>
  <si>
    <t>Filings frame it as access to baby care / D2C ayurvedic personal care; no ITC baby-care brand is named in any filing (INFERRED: ITC's personal care brands are adult soaps, fragrances, skincare).</t>
  </si>
  <si>
    <t>Associate at 49.32% (2026-05-19); FY26 turnover INR 138.5 Cr; balance to 100% by Q1 FY2027-28 (extendable to Q1 FY2028-29)</t>
  </si>
  <si>
    <t>S032: 'shareholding in Mother Sparsh has increased from 39.47% to 49.32%'; 'turnover 2025-26 INR 138.5 crores 2024-25 INR 80.9 crores *'</t>
  </si>
  <si>
    <t>https://www.bseindia.com/xml-data/corpfiling/AttachHis/eb24ba27-a9eb-42ca-b4dd-29312337bdcf.pdf</t>
  </si>
  <si>
    <t>S020;S021;S032;S025;S026;S027;S028;S029;S018;S019</t>
  </si>
  <si>
    <t>Row = the CONTROL deal: SSPA executed 2025-04-17 to acquire the balance 73.5% (S020); first tranche completed 2025-05-21: 'aggregate consideration of approx. Rs 50.6 crores', stake 26.50% -&gt; 39.47% (S021), so stake_pct = 12.97 incremental. Plan (S020 p.16): ~Rs 81 Cr in two tranches to reach up to 49.3% (total investment ~Rs 126 Cr), then balance to 100% by Q1 FY2027-28 on pre-agreed criteria. Second tranche ~Rs 30 Cr -&gt; 49.32% on 2026-05-19 (S032). PRIOR MINORITY ENTRY (not counted in this row): 16% agreed 2021-11-26 for '~ Rs 20 crores' (S025), completed in two tranches 2021-12 (8.70%, S026) and 2022-03-15 (16%, S027); to 22% for ~Rs 13.50 Cr (2022-10-27, S028/S029); to 26.50% for ~Rs 11.54 Cr (2023-06-27, S018/S019). Multiple caveat: 50.6 Cr includes primary subscription, so implied value is post-money. Turnover restated: FY25 Rs 99.6 Cr (S021) vs Rs 80.9 Cr restated (S032). See conflicts.md.</t>
  </si>
  <si>
    <t>24 Mantra Organic (Sresta Natural Bioproducts Pvt Ltd)</t>
  </si>
  <si>
    <t>Food-Staples&amp;Organic</t>
  </si>
  <si>
    <t>full_100</t>
  </si>
  <si>
    <t>consolidated turnover as stated in Reg 30 annexure; not labelled ops vs total income</t>
  </si>
  <si>
    <t>ITC was already in staples (filing: deal will 'fortify ITC's presence'); 24 Mantra brought the organic shopper and US Indian-diaspora franchise (~50% revenue international). Tie-break over CAPABILITY (27,500-farmer organic sourcing base).</t>
  </si>
  <si>
    <t>Wholly owned from 2025-06-13; amalgamated into ITC Ltd (NCLT-sanctioned, appointed date 2025-06-13), so no longer a separate entity</t>
  </si>
  <si>
    <t>S022: 'SNBPL has become a wholly owned subsidiary of the Company'; S033: 'Scheme of Amalgamation of Sresta Natural Bioproducts Private Limited... with the Company... has been sanctioned'</t>
  </si>
  <si>
    <t>S020;S022;S033</t>
  </si>
  <si>
    <t>Announced 2025-04-17 (S020): 'Consideration of up to Rs 472.50 crores on a cash-free debt-free basis... comprising Rs 400 crores payable upfront at Closing and up to Rs 72.50 crores payable in the next 24 months'. Presentation: 'Additional Founders Consideration of up to Rs. 72.5 cr... basis pre-agreed criteria'; founder Raj Seelam stays 2 years. Completed 2025-06-13 (S022). consideration_inr_cr = the maximum 472.5 (upfront 400 + earn-out); upfront-only multiple = 400/306.1 = 1.31x. Turnover S020 p.4 (consolidated): '2023-24 Rs 306.1 crores 2022-23 Rs 327.3 crores 2021-22 Rs 326.7 crores' - flat-to-declining before the deal. Earn-out not counted as FOUNDER_TEAM: price is 1.5x revenue, so people are not the primary asset (D6).</t>
  </si>
  <si>
    <t>Prasuma (Ample Foods Pvt Ltd)</t>
  </si>
  <si>
    <t>Food-Frozen&amp;ReadyToCook</t>
  </si>
  <si>
    <t>revenue_from_operations (AFPL consolidated, sales to third parties incl. sales to MSPL)</t>
  </si>
  <si>
    <t>CAPABILITY</t>
  </si>
  <si>
    <t>ITC already had frozen foods (Master Chef, 2019); release cites 'Prasuma's strength in manufacturing and innovation' and first-to-market products (momos, baos) to build a 'full stack' portfolio. Judgement call vs REVENUE_SCALE.</t>
  </si>
  <si>
    <t>Associate at 43.75%; next secondary (~Rs 56 Cr to 62.5%) due by Apr 2027; 100% by 2028-06-30</t>
  </si>
  <si>
    <t>S024: 'shareholding in AFPL aggregates 43.75% of its share capital'; no later Reg 30 update found on BSE to 2026-10-10</t>
  </si>
  <si>
    <t>https://www.bseindia.com/xml-data/corpfiling/AttachHis/a8097585-aeec-49ae-9525-cebf604d1aaf.pdf</t>
  </si>
  <si>
    <t>S023;S024</t>
  </si>
  <si>
    <t>Announced 2025-02-06 (S023); first tranche completed 2025-04-04: 'aggregate consideration of approx. Rs 131 crores... aggregates 43.75%' (S024). Plan (S023 Annexure): ~Rs 131 Cr for 43.8%; ~Rs 56 Cr secondary to 62.5% by Apr-2027; balance 37.5% of AFPL plus 100% of Meat and Spice Pvt Ltd (MSPL, owns ~43% of AFPL) by 2028-06-30 on pre-agreed criteria. Revenue: AFPL FY24 Rs 116 Cr used (stake is in AFPL); 'Target Business' (AFPL+MSPL+Chao Chao) FY24 Rs 131 Cr -&gt; multiple 2.29x on that basis. ARR ~Rs 200 Cr (trailing 3 months, Feb-2025 release). Category 'Food-Frozen&amp;ReadyToCook' added to the taxonomy: no existing bucket fits frozen/chilled meats and momos.</t>
  </si>
  <si>
    <t>Tata Consumer Products Ltd</t>
  </si>
  <si>
    <t>Soulfull (Kottaram Agro Foods Pvt Ltd)</t>
  </si>
  <si>
    <t>FY20</t>
  </si>
  <si>
    <t>Filing: deal is in line with TCPL's 'strategic intent of entering into new adjacent categories'; TCPL had no breakfast cereals or millet snacks.</t>
  </si>
  <si>
    <t>Renamed Tata Consumer Soulfull, then amalgamated into Tata Consumer Products Ltd (scheme effective 2024-09-01); brand continues as Tata Soulfull</t>
  </si>
  <si>
    <t>S044: 'has now been re-named to Tata Consumer Soulfull'; S042 headline: 'Scheme Of Amalgamation Of Nourishco Beverages Limited (NCBL), Tata Smartfoodz Limited (TSFL) And Tata Consumer Soulfull...'; 'the Effective Date of the Scheme is September 1, 2024'</t>
  </si>
  <si>
    <t>https://www.bseindia.com/xml-data/corpfiling/AttachHis/6b5c78ca-543a-4181-8f13-c0b10991f345.pdf</t>
  </si>
  <si>
    <t>S034;S035;S042;S044</t>
  </si>
  <si>
    <t>Announced 2021-02-02 (S034): 'Consideration of INR 155.8 cr. In addition, the promoters are entitled to a contingent consideration, which is payable upon the business achieving certain operational and financial milestones over a period of 5 years.' Completed 2021-02-20 (S035). Turnover S034 p.3: 2019-20 INR 39.38 Cr; 2018-19 INR 21.58 Cr (OCR reads '2L58'); 2017-18 INR 11.08 Cr; net worth 31-Mar-2020 INR -6.26 Cr. Contingent consideration amount UNCONFIRMED: not disclosed. Post-deal Soulfull revenue UNCONFIRMED: not separately disclosed after amalgamation.</t>
  </si>
  <si>
    <t>Ching's Secret / Smith &amp; Jones (Capital Foods Pvt Ltd)</t>
  </si>
  <si>
    <t>Food-Ethnic&amp;Condiments</t>
  </si>
  <si>
    <t>FY23</t>
  </si>
  <si>
    <t>revenue_from_operations</t>
  </si>
  <si>
    <t>Filing: 'entering into new adjacent high growth/ attractive margin categories'; TCPL (tea, coffee, salt, pulses) had no sauces, chutneys or Desi-Chinese condiments.</t>
  </si>
  <si>
    <t>Subsidiary; stake 80% after buying 5% from Wildflower Private Trust on 2026-09-01; 20% still to be acquired (3-year window from 2024-02-01)</t>
  </si>
  <si>
    <t>S038: 'the Company now holds 27,95,533 equity shares... (representing 80% of the paid-up equity share capital of Capital Foods)'</t>
  </si>
  <si>
    <t>https://www.bseindia.com/xml-data/corpfiling/AttachHis/4c77fffc-daff-4dad-8633-13be1e459dfe.pdf</t>
  </si>
  <si>
    <t>S036;S037;S038;S043</t>
  </si>
  <si>
    <t>Announced 2024-01-12 (S036): 'Enterprise value on no cash/no debt basis for 100% of the Target Company is INR 5,100 crores'; 75% upfront, balance 25% within 3 years. Completed 75% on 2024-02-01 (S037). consideration_inr_cr 3,825 is DERIVED (75% x INR 5,100 Cr EV): the equity cash paid for 75% is not in the Reg 30 filing, hence Low confidence under the rules; EV, stake and revenue are all T1. Multiple = EV/FY23 revenue = 7.2x. Revenue S036 p.4: 'Revenue from operations: FY 2022-23 Rs. 705.5 crores FY 2021-22 Rs. 574.2 crores FY 2020-21 Rs. 666.7 crores'; FY24 estimated 'approximately Rs. 750 to 770 crores' (S036 p.2). UNCONFIRMED: equity consideration paid for 75% (try TCPL FY24 annual report business-combination note); price of the 2026 5% top-up (BW Retail World S043: 'did not disclose the value').</t>
  </si>
  <si>
    <t>Organic India (Organic India Pvt Ltd)</t>
  </si>
  <si>
    <t>revenue_from_operations (consolidated)</t>
  </si>
  <si>
    <t>Filing: 'entering into new adjacent... categories' and 'will enable creation of health and wellness platform'; TCPL sold tea but not herbal supplements. Herbal infusions overlap TCPL tea, so COHORT_EQUITY is the runner-up.</t>
  </si>
  <si>
    <t>Wholly owned subsidiary since 2024-12-13 (99.99% from 2024-04-16)</t>
  </si>
  <si>
    <t>S041: 'completed the acquisition of the remaining 8,750 equity shares... thereby making Organic India a wholly owned subsidiary of the Company'</t>
  </si>
  <si>
    <t>https://www.bseindia.com/xml-data/corpfiling/AttachHis/28441e71-335d-47a6-a86e-2bff25286d57.pdf</t>
  </si>
  <si>
    <t>S039;S040;S041</t>
  </si>
  <si>
    <t>Announced 2024-01-12 (S039): 'Enterprise value on no cash/no debt basis for 100% of the Target Company is Rs. 1,900 crores along with an additional earnout for the shareholders linked to FY2025-26 audited financials'. Seller: Fabindia Ltd. Completed 99.99% on 2024-04-16 (S040); remaining 8,750 shares 2024-12-13 (S041). consideration_inr_cr = disclosed EV (equity value not disclosed); earn-out amount UNCONFIRMED. Revenue S039 p.4: 'Revenue from operations (consolidated) FY22-23 Rs. 324.4 crores FY21-22 Rs. 361.8 crores FY20-21 Rs. 394.8 crores' - declining before the deal; FY24 estimated 'approximately Rs. 360 to 370 crores'. deal_structure full_100: 99.99% at first completion.</t>
  </si>
  <si>
    <t>Marico Ltd</t>
  </si>
  <si>
    <t>Beardo (Zed Lifestyle Pvt Ltd)</t>
  </si>
  <si>
    <t>BPC-MensGrooming</t>
  </si>
  <si>
    <t>turnover as stated in Reg 30 annexure (INR 78,49,85,170); not labelled ops vs total income</t>
  </si>
  <si>
    <t>Marico already sold men's styling (Set Wet, Parachute Advansed Men - INFERRED, not in filing); Beardo brought the young, online beard-grooming cohort. The 2020 step-up itself is about 'complete control'.</t>
  </si>
  <si>
    <t>Wholly owned since 2020-06-30; FY25 turnover INR 214.17 Cr (2.7x FY20); business being moved into Marico Ltd via voluntary liquidation of Zed Lifestyle (announced 2026-01-27)</t>
  </si>
  <si>
    <t>S064: 'Zed's financial details... Turnover 214.17 1.98%' (contribution to consolidated); 'Distribution of business undertaking of Zed on a going concern basis'</t>
  </si>
  <si>
    <t>https://www.bseindia.com/xml-data/corpfiling/AttachHis/9bdee60f-06e1-4486-a933-6c890b79602a.pdf</t>
  </si>
  <si>
    <t>S045;S064;S063</t>
  </si>
  <si>
    <t>Row = the 2020 control step: 'The Company has now acquired the balance equity stake of 55%' on 2020-06-30, holding 45% since March 2017 (S045). The 2017 entry is pre-2020; it could be a calibration row in Tab A. consideration_inr_cr UNCONFIRMED: 'pre-money enterprise valuation has not been disclosed herein due to reasons of confidentiality' (S045); press also reports 'undisclosed sum'. Turnover S045 p.3: FY20 INR 78.50 Cr; FY19 INR 48.24 Cr; FY18 INR 22.66 Cr. deal_structure full_100 because holding reached 100% at this completion (55% bought on top of 45%).</t>
  </si>
  <si>
    <t>Just Herbs (Apcos Naturals Pvt Ltd)</t>
  </si>
  <si>
    <t>FY21</t>
  </si>
  <si>
    <t>turnover as stated in later Reg 30 annexure (FY21 INR 17.25 Cr; 'approx. revenue' INR 17.5 Cr unaudited at signing)</t>
  </si>
  <si>
    <t>Marico had personal care; filing says the deal lets it participate 'in the premium, natural and ayurvedic beauty segment' and the D2C channel, a cohort its mass brands lacked.</t>
  </si>
  <si>
    <t>Wholly owned since 2024-09-17 (balance 40% for up to INR 70 Cr); FY24 turnover INR 96.03 Cr (5.6x FY21)</t>
  </si>
  <si>
    <t>S049: 'Aggregate consideration of upto Rs. 70 Crores towards acquisition of balance 40% equity stake'; 'FY 2023 - 24 96.03'; S050: 'the transaction has been completed today'</t>
  </si>
  <si>
    <t>https://www.bseindia.com/xml-data/corpfiling/AttachHis/b14ca7a2-bf6b-4ee2-be75-9db8bae2c8f4.pdf</t>
  </si>
  <si>
    <t>S046;S047;S048;S049;S050</t>
  </si>
  <si>
    <t>Signed 2021-07-14 (S046): 60% via equity + CCPS; 52.4% by 2021-07-31 (subsidiary), balance 7.6% by 2023-03-31. Path: 52.38% -&gt; 56.52% (2022-07-04, S047) -&gt; 60% (2022-11-11, 'Rs. 9.99 crores for... additional equity stake of 3.48%', S048) -&gt; 100% (2024-09-17, up to Rs 70 Cr for 40%, S049/S050). consideration_inr_cr UNCONFIRMED: first-tranche price not disclosed ('pre-money enterprise valuation has not been disclosed herein due to reasons of confidentiality'). DERIVED, not used: 9.99/0.0348 implies ~INR 287 Cr for 100% at the 2021 agreed pre-money valuation (~16x FY21 turnover) - treat with caution, tranche may include a different primary/secondary mix. Final 40% at up to 70 Cr implies ~175 Cr for 100% in 2024 (1.8x FY24 turnover) - lower than the 2021-agreed valuation. year_start=2021 (first completion by 2021-07-31).</t>
  </si>
  <si>
    <t>True Elements (HW Wellness Solutions Pvt Ltd)</t>
  </si>
  <si>
    <t>turnover as stated in Reg 30 annexure (unaudited at the time)</t>
  </si>
  <si>
    <t>Marico already sold breakfast (Saffola Oats - INFERRED, not in filing); filing says the deal expands its 'presence in the healthy foods segment' with a digital-first brand, i.e. the online health-food cohort.</t>
  </si>
  <si>
    <t>Wholly owned since 2025-10-17 (balance 46.02% for up to INR 138 Cr); FY25 turnover INR 164.38 Cr (3.0x FY22)</t>
  </si>
  <si>
    <t>S052: 'Aggregate consideration of upto Rs. 138 Crores towards acquisition of balance 46.02%'; 'FY 2024 - 25 164.38'; S053: 'completed the aforesaid acquisition on October 17, 2025... True Elements has become a wholly owned subsidiary'</t>
  </si>
  <si>
    <t>https://www.bseindia.com/xml-data/corpfiling/AttachHis/27472172-f501-43b4-bfea-2d22eda5b637.pdf</t>
  </si>
  <si>
    <t>S051;S052;S053</t>
  </si>
  <si>
    <t>Completed 2022-05-23 (S051): 'acquired 53.98% of the paid-up share capital of HW Wellness and it has accordingly become a subsidiary'. consideration_inr_cr UNCONFIRMED: 'mutually agreed pre-money enterprise valuation... has not been disclosed herein due to reasons of confidentiality'. Turnover S051: FY22 54.3 (unaudited), FY21 36.3, FY20 16.5 (INR Cr). Balance 46.02% at up to 138 Cr implies ~300 Cr for 100% in 2025 (1.8x FY25 turnover). Storyboard18 headline 'Marico acquires 100% stake in True Elements for Rs 138 crore' (T3, seen via search, NOT saved; not relied on) misstates it: 138 Cr bought the remaining 46.02%, not 100%.</t>
  </si>
  <si>
    <t>Plix (Satiya Nutraceuticals Pvt Ltd)</t>
  </si>
  <si>
    <t>turnover as stated in Reg 30 annexure; later filings call it consolidated turnover</t>
  </si>
  <si>
    <t>Filing: deal expands 'presence in the rapidly growing Health &amp; Wellness category' (plant-based supplements/ACV gummies), where Marico had no material revenue (INFERRED: Saffola's wellness extensions were small).</t>
  </si>
  <si>
    <t>Subsidiary at 84.09% (2026-10-05, INR 1,012.03 Cr for 24.09%); FY26 consolidated turnover INR 864.31 Cr (8.1x FY23); last 14.09% due July 2027</t>
  </si>
  <si>
    <t>S058: 'Consideration of INR 1,012.03 Crores towards current tranche of acquisition of 24.09% stake'; 'FY 2025 - 26 864.31'; 'aggregate consideration for acquisition of 84.09% stake... stands at INR 1,392.07 Crores'</t>
  </si>
  <si>
    <t>https://www.bseindia.com/xml-data/corpfiling/AttachHis/32224d77-4090-4b97-9c64-a9b3319a3b5e.pdf</t>
  </si>
  <si>
    <t>S054;S055;S056;S057;S058</t>
  </si>
  <si>
    <t>Signed and first tranche completed 2023-07-26 (S054): 32.75% 'and requisite majority control over the Board composition/total voting rights', i.e. subsidiary from day one; 'Aggregate Consideration of upto Rs. 369.01 Crores towards acquisition of 58%'. consideration/stake = the contracted 58% package (first-tranche price alone not disclosed). Path: 51.20% (2023-11-30; +2% from founders for Rs 11.03 Cr, package now 60% for Rs 380.04 Cr, S055/S056); 60% (2025-05-31, S056); agreement amended 2025-12-17 to change timing of the 40% (S057); 84.09% (2026-10-05, S058); remaining 14.09% 'will be acquired in July 2027' for 'up to INR 592 Crores and additional consideration subject to milestones' (S058). Implied 100% value: ~636 Cr (2023) vs ~4,201 Cr (2026 tranche, 1012.03/0.2409). Turnover: FY21 10.92, FY22 41.58, FY23 106.43, FY24 155.32, FY25 432.84, FY26 864.31 (INR Cr). deal_structure staged_to_control: first tranche 32.75% (&lt;=50%) with contracted tranches to majority, even though board control came at once.</t>
  </si>
  <si>
    <t>Cosmix (Cosmix Wellness Pvt Ltd)</t>
  </si>
  <si>
    <t>FY25</t>
  </si>
  <si>
    <t>turnover 'Calculated as per Indian GAAP' (Reg 30 annexure)</t>
  </si>
  <si>
    <t>Marico was already in wellness via Plix; filing cites 'a digital-first functional wellness brand with a distinct and compelling proposition', i.e. another consumer cohort, not a new category.</t>
  </si>
  <si>
    <t>Subsidiary at 60% since 2026-02-05; Marico has a right to buy the rest after FY29</t>
  </si>
  <si>
    <t>S060: 'transaction has been completed on February 5, 2026 and consequently Cosmix Wellness has become a subsidiary'</t>
  </si>
  <si>
    <t>https://www.bseindia.com/xml-data/corpfiling/AttachHis/01fbc9b3-3e17-4de2-8d46-4228c8de2550.pdf</t>
  </si>
  <si>
    <t>S059;S060</t>
  </si>
  <si>
    <t>Signed 2026-02-04 (S059): 'Aggregate consideration of Rs. 225.67 crores towards acquisition of 60%' via secondary buy-out from founders; 'right to acquire the remaining stake in Cosmix Wellness after completion of FY29'. Completed 2026-02-05 (S060). Turnover: FY25 50.93, FY24 24.32, FY23 5.39 (INR Cr, Indian GAAP); 'Last 6 months ARR as per IndAS (Aug 2025 to Jan 2026): ~Rs. 100 crores'. Memory said 2025 completion (C014): actual is 2026. Remaining-stake right is an option, not a committed schedule; noted, not reclassified.</t>
  </si>
  <si>
    <t>4700BC (Zea Maize Pvt Ltd)</t>
  </si>
  <si>
    <t>Marico already sold healthy snacks (True Elements); filing cites 'a gourmet snacking brand with a differentiated premium positioning', i.e. the premium/gourmet snacking cohort.</t>
  </si>
  <si>
    <t>Subsidiary at 93.27% since 2026-01-29; founder retains a stake; Marico can buy it after 3 years</t>
  </si>
  <si>
    <t>S062: 'the aforesaid transaction has been completed on January 29, 2026 and consequently Zea Maize has become a subsidiary'</t>
  </si>
  <si>
    <t>https://www.bseindia.com/xml-data/corpfiling/AttachHis/1e497d48-0c27-4c5b-811c-7658d2bfbf12.pdf</t>
  </si>
  <si>
    <t>S061;S062;S063</t>
  </si>
  <si>
    <t>NEW (not in the lead list). Signed 2026-01-26 (S061): 'Aggregate consideration of up to Rs. 226.83 Crores towards acquisition of 93.27%' bought from PVR INOX Ltd, the listed former parent, so this is listed-to-listed and the brand was itself a corporate buy-and-build. Completed 2026-01-29 (S062). Turnover: FY25 98.66, FY24 75.29, FY23 48.47 (INR Cr); 'Last 3 months ARR (Oct to Dec 2025): ~Rs. 140 crores'. Seller-side view: PVR INOX's exit is a data point for the cinema-snacks-to-retail brand route.</t>
  </si>
  <si>
    <t>Dabur India Ltd</t>
  </si>
  <si>
    <t>Badshah Masala (Badshah Masala Pvt Ltd)</t>
  </si>
  <si>
    <t>Dabur had no branded spices business; Badshah (ground and blended spices) gave it entry into the masala category (INFERRED: filing gives no rationale beyond the business description).</t>
  </si>
  <si>
    <t>Subsidiary at 51% since 2023-01-02; balance 49% due after 5 years (~2028); Badshah portfolio +12% in Q4 FY26</t>
  </si>
  <si>
    <t>S066: 'Badshah Masala Private Limited has become a subsidiary of Dabur India Limited w.e.f. today i.e. 2nd January 2023'; S076 (T3): 'The Badshah portfolio increased 12% during the quarter' (Q4 FY26)</t>
  </si>
  <si>
    <t>https://www.bseindia.com/xml-data/corpfiling/AttachHis/479e8327-282f-4bb6-9a41-a7d3ffb13143.pdf</t>
  </si>
  <si>
    <t>S065;S066;S076</t>
  </si>
  <si>
    <t>Announced 2022-10-26 (S065): 'Cost of Acquisition of 51% equity shareholding has been agreed at INR 587.52 crore less proportionate debt as on the closing date (100% enterprise valuation being INR 1152 crore which translates to Revenue multiple of around 4.5x and EBIDTA multiple of around 19.6x of FY2022-23 estimated financials)'; balance 49% 'after a period of five years'. Completed 2023-01-02 (S066), so year_start=2023 (announced 2022). Turnover: 'Turnover for FY 21-22 - INR 189.1 crore'. Multiple here = 6.1x on FY22 actuals vs Dabur's own '4.5x' on FY23 estimates (see conflicts.md). The 587.52 is before deducting proportionate debt, so the actual cash paid may be lower: UNCONFIRMED.</t>
  </si>
  <si>
    <t>Sesa (Sesa Care Pvt Ltd)</t>
  </si>
  <si>
    <t>BPC-Haircare</t>
  </si>
  <si>
    <t>consolidated turnover as stated in Reg 30 annexure</t>
  </si>
  <si>
    <t>REVENUE_SCALE</t>
  </si>
  <si>
    <t>Dabur is 'a market leader in the hair oils category' (its own release); Sesa is #3 in ayurvedic hair oil, so the deal mainly adds share in a category and cohort Dabur already owns.</t>
  </si>
  <si>
    <t>Merger into Dabur sanctioned by NCLT on 2026-09-24; Sesa Care to be dissolved; Dabur shares issued to Sesa shareholders (True North)</t>
  </si>
  <si>
    <t>S075/S074: NCLT 'pronounced the order sanctioning the Scheme of Amalgamation between Sesa Care Private Limited... and Dabur India Limited' (2026-09-24); 'There is no cash consideration involved in the Scheme'</t>
  </si>
  <si>
    <t>https://www.bseindia.com/xml-data/corpfiling/AttachHis/cadeef7a-138a-4e88-abf5-2285a34d9383.pdf</t>
  </si>
  <si>
    <t>S067;S074;S075</t>
  </si>
  <si>
    <t>NEW (not in the lead list). Implementation agreement 2024-10-30 (S067): Dabur buys 51% of Sesa's cumulative redeemable preference shares for Rs 12.59 Cr at face value and guarantees Rs 289 Cr of Sesa debt; equity and remaining CRPS then swapped into Dabur shares on merger. 'Enterprise value of the Target Company (including debt of INR 289 crs.) is estimated to be in the range of INR 315-325 crs'; presentation: 'EV/ Sales: 2.4x and EV/ EBITDA: 19-20x'. consideration_inr_cr 320 = DERIVED midpoint of the disclosed EV range (hence Low); it is EV, mostly assumed debt, not cash. Share-swap ratios set 2025-05-26 (S074). year_start=2026: equity changes hands only when the merger becomes effective (NCLT sanction 2026-09-24; effective date UNCONFIRMED). Turnover: FY24 133.3, FY23 130.3, FY22 111.9 (INR Cr), i.e. near-flat. Seller: True North (PE), which bought the business from Ban Labs in 2018.</t>
  </si>
  <si>
    <t>Godrej Consumer Products Ltd</t>
  </si>
  <si>
    <t>Park Avenue (FMCG) &amp; KamaSutra (Raymond Consumer Care FMCG business)</t>
  </si>
  <si>
    <t>'historical reported sales' as stated in Reg 30 annexure</t>
  </si>
  <si>
    <t>GCPL calls deodorants and sexual wellness 'under-penetrated categories' that 'complement our business portfolio'; it had no sexual-wellness brand and only a small deo presence (INFERRED: Cinthol deo).</t>
  </si>
  <si>
    <t>Integrated into GCPL (slump sale, completed 2023-05-08); post-deal brand sales not separately disclosed</t>
  </si>
  <si>
    <t>S069: 'the Company has now completed this acquisition'. Post-deal performance UNCONFIRMED.</t>
  </si>
  <si>
    <t>https://www.bseindia.com/xml-data/corpfiling/AttachHis/09aaabc3-d276-44a4-b240-f217c79c7333.pdf</t>
  </si>
  <si>
    <t>S068;S069</t>
  </si>
  <si>
    <t>VERIFICATION 2026-10-10: stake_pct 100 is inferred from the deal type (slump sale of the whole business); the Reg 30 field 'Percentage of shareholding / control acquired' reads 'NA' (S068), so the row is downgraded from High to Medium. Consideration and revenue are verbatim T1. Announced 2023-04-27 (S068): 'Cost of acquisition Rs. 2825 Crore / Rs. 2725 Crore (ex cash acquisition from RCCL)'; slump sale of the FMCG business with the Park Avenue (FMCG category), KS, KamaSutra and Premium trademarks. Completed 2023-05-08 (S069). Sales: 'FY21- Rs. 411 crore FY22- Rs. 522 crore FY23- Rs. 622 crore'. Multiple 4.5x (4.4x ex cash). Seller Raymond Ltd is itself listed, so this is a listed-to-listed carve-out. Category judgement: Park Avenue deodorants are the bigger part; if GCPL's Cinthol deo is judged 'meaningful', the label becomes REVENUE_SCALE (deos) + CATEGORY_ENTRY (sexual wellness).</t>
  </si>
  <si>
    <t>Muuchstac (Triology Solutions Pvt Ltd FMCG business)</t>
  </si>
  <si>
    <t>'Audited turnover as per IGAAP' (Ind AS TTM FY25 = INR 60 Cr; see notes)</t>
  </si>
  <si>
    <t>GCPL already sold men's grooming (Park Avenue, Cinthol); Muuchstac brought the young, online men's face-wash cohort.</t>
  </si>
  <si>
    <t>Integrated into GCPL (slump sale completed 2025-11-10); second-tranche payment (~INR 160 Cr) due ~12 months after signing, i.e. late 2026</t>
  </si>
  <si>
    <t>S072: 'the said acquisition has been completed today' (2025-11-10)</t>
  </si>
  <si>
    <t>https://www.bseindia.com/xml-data/corpfiling/AttachHis/d84288eb-224d-4315-8ca8-0327ab543ee2.pdf</t>
  </si>
  <si>
    <t>S071;S072</t>
  </si>
  <si>
    <t>NEW (not in the lead list). Signed 2025-10-31 (S071): '100% of Business acquired via slump sale. Tranche 1 cash payment (signing date): Rs 289 crore (EV @ ~Rs 380 Crore); Tranche 2 cash payment (post 12 months): Approx. Rs 160 crore (EV @ ~Rs 400-500 Crore)'. Completed 2025-11-10 (S072). consideration_inr_cr 449 = 289 + ~160 (approximate, valuation-linked second tranche), hence Low; tranche-1-only multiple = 3.3x on 87. Turnover: 'Audited turnover as per IGAAP FY 2022-23 19 Crore FY 2023-24 12 Crore FY 2024-25 87 Crore'; 'TTM turnover as per IND AS FY 2024-25 60 Crore; TTM September 2025 80 Crore'. IGAAP vs Ind AS gap (87 vs 60) logged in conflicts.md; on Ind AS the multiple is 7.5x.</t>
  </si>
  <si>
    <t>FSN E-Commerce Ventures Ltd (Nykaa)</t>
  </si>
  <si>
    <t>Dot &amp; Key (Dot and Key Wellness Pvt Ltd)</t>
  </si>
  <si>
    <t>Nykaa was a retailer with small private labels; Dot &amp; Key was its 'first direct to customer (D2C) beauty brand acquired' (S088), giving it an owned skincare brand. Entry into owning a scaled brand, not into selling skincare (judgement call vs COHORT_EQUITY).</t>
  </si>
  <si>
    <t>Subsidiary at 90% since 2024-09-20 (39% bought for up to INR 265.3 Cr); FY24 revenue INR 198.3 Cr (7.2x FY22); founders still run it</t>
  </si>
  <si>
    <t>S080: 'the Company holds 90% equity shares of Dot &amp; Key Wellness Private Limited effective September 20'; S079: 'Revenue (in INR Crores) FY 2023-24 198.3 FY 2022-23 57.7 FY 2021-22 27.5'</t>
  </si>
  <si>
    <t>https://www.bseindia.com/xml-data/corpfiling/AttachHis/07eae3e3-fc2e-44b3-9709-da47560b4f0a.pdf</t>
  </si>
  <si>
    <t>S079;S080;S087;S088</t>
  </si>
  <si>
    <t>FLAG: Nykaa was NOT yet listed at the first completion (51% on 2021-09-28 per search snippet; IPO opened 2021-10-28 (S088), listed Nov 2021), so no Reg 30 filing exists for the 2021 tranche. Included because Nykaa is listed today and the 2024 step-up is a T1 Reg 30 deal. consideration_inr_cr UNCONFIRMED: Business Today (S088) says Nykaa 'did not disclose the amount'; a search snippet attributes '~Rs 46.9 Cr secondary + ~Rs 50 Cr primary' to the RHP - lead only, not verified (check Nykaa RHP, 'Recent developments'). revenue FY21 UNCONFIRMED (first disclosed year is FY22 = 27.5 Cr, S079). 2024 step: 'Acquisition of the shares of Dot &amp; Key will be done at a consideration of up to INR 265.3 crores' for 39% (S079) -&gt; implies ~680 Cr for 100% (3.4x FY24 revenue).</t>
  </si>
  <si>
    <t>Earth Rhythm (Earth Rhythm Pvt Ltd)</t>
  </si>
  <si>
    <t>revenue as stated in Reg 30 annexure</t>
  </si>
  <si>
    <t>Filing: 'will further strengthen Company's product portfolio into sustainable beauty segment' - the clean/sustainable beauty cohort, inside a category (skincare) Nykaa already owned via Dot &amp; Key.</t>
  </si>
  <si>
    <t>Subsidiary at ~75.83% (converted basis) after second tranche on 2025-06-09; FY24 revenue INR 30.7 Cr (FY22 18.5)</t>
  </si>
  <si>
    <t>S082: 'Following this investment, Nykaa now holds approximately 75.83% in ERPL, on a converted basis'</t>
  </si>
  <si>
    <t>S077;S079;S081;S082</t>
  </si>
  <si>
    <t>Row = the CONTROL step (approved 2024-08-13, S079): further investment 'at a consideration of up to INR 44.5 crores' through primary and secondary, in tranches, making ERPL a subsidiary; first tranche executed Nov 2024 (S081), second tranche (Rs 5 Cr) 2025-06-09 (S082). stake_pct LEFT BLANK: the incremental stake bought for the 44.5 Cr is not stated (pre-deal 18.51% -&gt; ~75.83% after both tranches, partly via primary OCRPS), so no multiple is computed. PRIOR MINORITY ENTRY (2022): Board approved on 2022-04-22 'upto 18.51%' for 'a consideration of Rs 41.65 crores' (S077); FY22 revenue Rs 18.56 Cr (unaudited) -&gt; ~12x implied. deal_structure outright_majority: the first 2024 tranche made ERPL a subsidiary (S081); the 2022 entry would be minority_with_path. Memory said 'Nykaa acquired 51% of Earth Rhythm in 2022' (C023): WRONG, it was 18.51%.</t>
  </si>
  <si>
    <t>Emami Ltd</t>
  </si>
  <si>
    <t>The Man Company (Helios Lifestyle Pvt Ltd)</t>
  </si>
  <si>
    <t>turnover as stated in Reg 30 annexure</t>
  </si>
  <si>
    <t>Emami already sold men's products (Fair and Handsome - INFERRED); TMC 'caters to premium segment' with a head-to-toe online men's range, a premium cohort Emami lacked.</t>
  </si>
  <si>
    <t>Wholly owned since 2024-11-21; FY24 turnover INR 183 Cr (4.3x FY21)</t>
  </si>
  <si>
    <t>S092: 'in the last tranche of this transaction, 4585 equity shares of Helios have been acquired by the Company today, i.e., 21st November, 2024'</t>
  </si>
  <si>
    <t>https://www.bseindia.com/xml-data/corpfiling/AttachHis/2c0eecbf-b80b-4bb9-bdab-7ee327518b7d.pdf</t>
  </si>
  <si>
    <t>S089;S090;S091;S092</t>
  </si>
  <si>
    <t>Row = the 2024 buyout of the balance: 'The total purchase consideration to be paid for the acquisition of 1,33,572 equity shares (i.e., 49.60% stake) will be Rs. 177.63 Cr' (S091, approved 2024-08-30); Emami already held 50.40%. Completed in tranches to 2024-11-21 (S092). Earlier path (prices undisclosed, 'not been disclosed due to reasons of confidentiality'): entry pre-2020 (UNCONFIRMED date, likely 2017); 33.09% -&gt; 45.96% (2021-06-28, S089); 45.96% -&gt; 48.49% (2021-08-05, S090); crossed 50% at an UNCONFIRMED date before 2024-08. Turnover: FY24 183, FY23 115, FY22 74 (S091); FY21 42.89, FY20 39.34 (S089) (INR Cr). Implied 100% value in 2024 ~358 Cr = 1.95x FY24. deal_structure full_100 because the holding reached 100% in this transaction (same convention as Beardo).</t>
  </si>
  <si>
    <t>Brillare (Brillare Science Pvt Ltd)</t>
  </si>
  <si>
    <t>Emami had mass hair oils (Navratna, Kesh King); Brillare is a 'professional beauty care brand for salon', i.e. the salon/professional cohort.</t>
  </si>
  <si>
    <t>Wholly owned since 2024-03-27; FY23 turnover INR 19.71 Cr (2x FY21) - still small</t>
  </si>
  <si>
    <t>S095: 'Emami's Shareholding in Brillare has increased from 95.36% to 100% and it has become a wholly owned subsidiary'; 'Turnover... 2022-23 19.71'</t>
  </si>
  <si>
    <t>https://www.bseindia.com/xml-data/corpfiling/AttachHis/3a8cdf98-78aa-4e2b-ad29-5d1a3158e89b.pdf</t>
  </si>
  <si>
    <t>S093;S094;S095</t>
  </si>
  <si>
    <t>Row = the control step: CCPS 'aggregating to Rs 1.50' Cr (subscribed 2020-12-31 and 2021-03-24, S093) converted into equity on 2021-10-01, taking Emami 'from 34.70% to 57.36%' - 'Brillare Science has become Subsidiary Company' (S094). stake_pct = 22.66 incremental. consideration_inr_cr UNCONFIRMED: 'Cost of conversion from CCPS to Equity Shares has not been disclosed'; the Rs 1.5 Cr CCPS outlay is too small to be the economic price of 22.66% (conversion likely ratcheted on performance), so not entered. Confidence High on the T1 facts; price blank. Entry pre-2020 (letters dated 2018-02-05 and 2019-04-26). Later: CCPS 'upon conversion... stake would be 66.29% subject to achievement of agreed future performance' (2021-11-02; that filing is NOT saved in sources/raw - quote UNCONFIRMED, verification 2026-10-10); 100% on 2024-03-27, price undisclosed (S095). Turnover FY21 9.76 / FY20 4.49 / FY19 9.32 (INR Cr).</t>
  </si>
  <si>
    <t>Dermicool (brand acquired from Reckitt Benckiser Healthcare India)</t>
  </si>
  <si>
    <t>Emami already led cool talc with Navratna; release says 'Combined with Emami's Navratna Cool Talc, Emami will become leader in this niche category' - share, not a new category or cohort.</t>
  </si>
  <si>
    <t>Owned brand within Emami (brand/trademark purchase, not a company); post-deal sales UNCONFIRMED</t>
  </si>
  <si>
    <t>S096: 'the Company has acquired "Dermicool"... from Reckitt Benckiser Healthcare (India) Private Limited' (2022-03-25)</t>
  </si>
  <si>
    <t>https://www.bseindia.com/xml-data/corpfiling/AttachHis/4bbf5be6-b8d6-4c4b-93e0-d9e5ed244f03.pdf</t>
  </si>
  <si>
    <t>S096;S098;S099</t>
  </si>
  <si>
    <t>VERIFICATION 2026-10-10: stake_pct 100 is inferred from the deal type (outright brand purchase, S096: 'acquired "Dermicool"'); no % is printed, so the row is downgraded from High to Medium. Consideration is verbatim T1. NEW (not in the lead list). S096 press release: 'total consideration of Rs 432 crores excluding taxes &amp; duties'; Dermicool 'commands ~20% market share' in prickly heat powder. A brand (asset) purchase from a multinational's Indian subsidiary, not a startup; kept because the parent is listed and the brand is Indian-market. Category bucket 'BPC-Skincare' is the nearest fit (talc/prickly heat). revenue UNCONFIRMED: a search snippet says 'Rs 113 crore in 2021, EBITDA margin 35%' but neither saved T3 article (S098, S099) contains it - lead only. If 113 holds, multiple = 3.8x.</t>
  </si>
  <si>
    <t>Honasa Consumer Ltd</t>
  </si>
  <si>
    <t>Reginald Men (BTM Ventures Pvt Ltd)</t>
  </si>
  <si>
    <t>Filing: 'Expansion in a sizeable and fast-growing category (male personal care)'; Honasa had no dedicated men's brand (INFERRED from its portfolio of Mamaearth, The Derma Co, Aqualogica, BBlunt, Dr. Sheth's).</t>
  </si>
  <si>
    <t>Subsidiary at 95% since 2026-01-06; remaining 5% after 12 months; TTM revenue to Oct-2025 INR 74 Cr</t>
  </si>
  <si>
    <t>S101: 'completed the acquisition of 95% of the issued and paid-up equity share capital of BTM Ventures Private Limited'</t>
  </si>
  <si>
    <t>https://www.bseindia.com/xml-data/corpfiling/AttachHis/fc202c10-6ea5-4442-b480-7785e67736e9.pdf</t>
  </si>
  <si>
    <t>S100;S101</t>
  </si>
  <si>
    <t>NEW (not in the lead list). Approved 2025-12-11 (S100): '95% equity stake via secondary purchase at a Rs 195 Crores enterprise value on a no-cash no-debt basis'; remaining 5% in tranche 2 after 12 months. Completed 2026-01-06 (S101) 'for an equity value of INR 197.96 Crores, which includes cash and cash equivalents of INR 12.71 Crores'. Revenue: FY23 ~Rs 0.7 thousand, FY24 ~Rs 43 thousand, FY25 Rs 20.15 Cr, TTM Oct-2025 Rs 74 Cr. Multiple 10.3x on FY25 but 2.8x on TTM - a young, fast-ramping brand (incorporated 2022-08-25), so FY25 understates scale. Honasa was listed (Nov 2023) at signing. Its 2022 deals (Dr. Sheth's, BBlunt) predate listing and are excluded; see claims_verification_log C020/C021.</t>
  </si>
  <si>
    <t>Zydus Wellness Ltd</t>
  </si>
  <si>
    <t>RiteBite Max Protein (Naturell (India) Pvt Ltd)</t>
  </si>
  <si>
    <t>revenue_from_operations (IGAAP; ~119 Cr under Ind AS)</t>
  </si>
  <si>
    <t>Filing: 'expanding its footprint in the consumer wellness industry by foraying into the rapidly growing healthy snacking' segment; Zydus Wellness (Complan, Glucon-D, Sugar Free, Nycil) had no snack bars.</t>
  </si>
  <si>
    <t>Subsidiary at 98.14% from 2024-11-29; balance 1.86% 'expected to be completed shortly' (completion of the last 1.86% UNCONFIRMED)</t>
  </si>
  <si>
    <t>S103: 'on November 29, 2024, the Company has acquired 98.14% equity share capital from the Sellers of the Target'</t>
  </si>
  <si>
    <t>https://www.bseindia.com/xml-data/corpfiling/AttachHis/9eec263b-6a51-4a93-bb9c-4d767c184732.pdf</t>
  </si>
  <si>
    <t>S102;S103</t>
  </si>
  <si>
    <t>NEW (not in the lead list). SPA approved 2024-10-30 (S102) for 100%: 'Rs 369 crores... will be paid as upfront consideration (subject to customary adjustments). Over and above this amount of upfront consideration, earnout amount of Rs 21 crores'; total 'consideration of Rs 390 crores'. Revenue: 'Revenue from Operations as per IGAAP... March 31, 2024: Rs 128.89 crores; March 31, 2023: Rs 102.06 crores; March 31, 2022: Rs 59.07 crores'; '(approx. Rs 119 crores as per IND-AS)'. Multiple 3.0x (IGAAP) / 3.3x (Ind AS). deal_structure full_100: 98.14% at first completion with the rest a formality (same convention as Organic India 99.99%).</t>
  </si>
  <si>
    <t>Bajaj Consumer Care Ltd</t>
  </si>
  <si>
    <t>Banjara's (Vishal Personal Care Pvt Ltd)</t>
  </si>
  <si>
    <t>Bajaj already sold herbal hair care (Almond Drops); filing cites 'size, geography, growth, profitability, and portfolio' - Banjara's (Hyderabad, ayurvedic henna/hair/skin) adds a southern consumer base (INFERRED: Bajaj's north/west skew).</t>
  </si>
  <si>
    <t>Wholly owned since 2025-05-16 (tranche 2: 51% for INR 61.18 Cr)</t>
  </si>
  <si>
    <t>S106: 'completed the acquisition of tranche 2 shares today, i.e., 51%... for a consideration of INR 61,18,23,600. Pursuant to this, the Target Company has now become 100% subsidiary'</t>
  </si>
  <si>
    <t>https://www.bseindia.com/xml-data/corpfiling/AttachHis/595c2660-0101-4f9b-a8a0-06bfaa5e1f77.pdf</t>
  </si>
  <si>
    <t>S104;S105;S109;S106</t>
  </si>
  <si>
    <t>NEW (not in the lead list). Approved 2025-02-14 (S104; S105 is a duplicate filing): 'Estimated cash consideration of approx. INR 120 crore at an Enterprise value of INR 108.3 crore' for 100% in two tranches (49% then 51%); seller incl. Peepul Capital Fund III. Tranche 1 (49%) completed 2025-03-10 (S109); tranche 2 (51%) 2025-05-16 for INR 61.18 Cr (S106), so tranche 1 cost ~INR 59 Cr (DERIVED). consideration/stake recorded as the contracted 100% package. Revenue from operations: FY24 INR 51.53 Cr; FY23 45.36; FY22 39.43. deal_structure staged_to_control: first tranche 49% (&lt;=50%) with a contracted second tranche to 100%. Category bucket inferred: Banjara's sells henna/hair and skin products.</t>
  </si>
  <si>
    <t>Reliance Industries Ltd (via Reliance Consumer Products Ltd)</t>
  </si>
  <si>
    <t>Lotus Chocolate (Lotus Chocolate Company Ltd)</t>
  </si>
  <si>
    <t>Other</t>
  </si>
  <si>
    <t>'Income from Operations' as stated in the letter of offer (audited)</t>
  </si>
  <si>
    <t>RCPL had no chocolate/cocoa business; Lotus (cocoa products and chocolates, with a factory) gave entry into confectionery. CAPABILITY (manufacturing) is the runner-up.</t>
  </si>
  <si>
    <t>Listed subsidiary of RCPL (51% via SPA plus open offer for up to 26% at INR 115.50/share, offer in Mar 2023); later performance UNCONFIRMED</t>
  </si>
  <si>
    <t>S110: 'Shares / voting rights acquired... 65,48,935 51.00% 74,00,29,655 Cash'; open offer 'at a price of INR 115.50 per Offer Share'</t>
  </si>
  <si>
    <t>https://www.bseindia.com/xml-data/corpfiling/AttachHis/fea041df-8810-409c-94b9-e89ad604024e.pdf</t>
  </si>
  <si>
    <t>S110;S111</t>
  </si>
  <si>
    <t>SPECIAL CASE: acquirer is Reliance Consumer Products Ltd (RCPL), a wholly owned subsidiary of Reliance Retail Ventures, counted under listed parent Reliance Industries Ltd (D4). RIL itself filed no Reg 30 for this size of deal; T1 evidence is the TARGET's SEBI SAST filings (Lotus is BSE-listed). SPA 2022-12-29: 51% from the promoters 'at a price of INR 113.00 per Sale Share, for a total consideration of INR 74,00,29,655' (S110); plus preferential issue of redeemable preference shares to RCPL (S111). Completion of the SPA ~May 2023 (Reg 29 disclosures 2023-05-27); exact date UNCONFIRMED. Revenue S111: 'Income from Operations' INR Cr - 9M FY23 37.11 (unaudited), FY22 86.97, FY21 47.87, FY20 69.89. Category 'Other' = confectionery (no bucket in the taxonomy).</t>
  </si>
  <si>
    <t>Campa (brand bought from Pure Drinks Group)</t>
  </si>
  <si>
    <t>Beverages</t>
  </si>
  <si>
    <t>Reliance had no soft-drink brand; Campa was a dormant heritage cola trademark bought to enter carbonated drinks.</t>
  </si>
  <si>
    <t>Relaunched 2023 and now Reliance's flagship beverage brand; Reliance plans up to INR 8,000 Cr of beverage investment (T4)</t>
  </si>
  <si>
    <t>S113 (T4): 'Much of its INR 8,000 crore investment will be devoted to Campa-Cola's expansion'; 'It bought the Campa Cola brand for a measly INR 22 crore'</t>
  </si>
  <si>
    <t>https://www.dtnext.in/amp/story/news/business/reliance-acquires-soft-drink-brand-campa-as-part-of-expansion</t>
  </si>
  <si>
    <t>S112;S113</t>
  </si>
  <si>
    <t>SPECIAL CASE (RCPL under RIL, see Lotus row). A trademark purchase of a dormant brand - really a BUILD on a bought name; flag for Tab B discussion. consideration 22 from S112 (PTI via DT Next): 'The deal is estimated to be around Rs 22 crore... said sources close to the development' - unnamed sources, T3 only; S113 repeats it (T4). No company disclosure found. Date 2022 (Aug-2022 per press; exact date UNCONFIRMED). revenue LEFT BLANK: brand was dormant at purchase; no turnover attributable. Multiple not meaningful.</t>
  </si>
  <si>
    <t>Sosyo (Sosyo Hajoori Beverages Pvt Ltd)</t>
  </si>
  <si>
    <t>Release: 'Sosyo's expertise in formulations can be leveraged to develop unique value proposition' for Reliance's beverage portfolio, which already had Campa - the formulation know-how is the stated asset.</t>
  </si>
  <si>
    <t>50:50 joint venture with the Hajoori family, who keep running the business; later status UNCONFIRMED</t>
  </si>
  <si>
    <t>S114: 'The existing promoters, Hajoori family, will continue to own the remaining stake in SHBPL'</t>
  </si>
  <si>
    <t>https://www.afaqs.com/news/brands/reliance-consumer-to-acquire-50-stake-in-sasyo-hajoori-beverages</t>
  </si>
  <si>
    <t>S114;S115</t>
  </si>
  <si>
    <t>SPECIAL CASE (RCPL under RIL). Announced Jan 2023 (S114, S115, both carrying RCPL's release): 'will acquire 50% equity stake in Gujarat-headquartered Sosyo Hajoori Beverages Private Limited'. JOINT VENTURE: a 50:50 JV, confirmed by both sources - S114: 'Speaking on the joint venture with RCPL'; 'The existing promoters, Hajoori family, will continue to own the remaining stake in SHBPL'. deal_structure = minority_no_path (D12 covers non-controlling stakes of 50% or less, including 50:50 JVs): no disclosed route for RCPL to take control. consideration UNCONFIRMED (not disclosed); revenue UNCONFIRMED. Medium = two T3 sources that agree (both rely on the same company release). Completion date UNCONFIRMED.</t>
  </si>
  <si>
    <t>base_rate_flag</t>
  </si>
  <si>
    <t>Build</t>
  </si>
  <si>
    <t>calibration</t>
  </si>
  <si>
    <t>Lever Ayush</t>
  </si>
  <si>
    <t>HUL's own ayurvedic masterbrand: an attempt to build an ayurveda franchise in-house rather than buy one (contrast Indulekha, bought 2016).</t>
  </si>
  <si>
    <t>Niche</t>
  </si>
  <si>
    <t>P2: in AR FY20 (S128 p.13: 'The master brand LEVER Ayush continued its momentum in the focused market - South India') and FY21 (S129 p.14: 'LEVER Ayush, the master brand maintained focus on its key market in southern India'); 0 mentions FY22-FY26. P3: leverayush.com gives no response (SSL error); HUL brand pages are JS-rendered (D8) - current availability UNCONFIRMED (S207).</t>
  </si>
  <si>
    <t>included</t>
  </si>
  <si>
    <t>https://www.bseindia.com/bseplus/AnnualReport/500696/5006960320.pdf</t>
  </si>
  <si>
    <t>S128;S129;S207</t>
  </si>
  <si>
    <t>Launch year conflict: 2001 vs 2002 in secondary write-ups (T4 case studies via search; HUL primary not found) - see conflicts.md. Relaunch: Dec 2016 with ~20 mass-priced products (Rs 30-130) in TN, Kerala, AP, Telangana, Karnataka, a response to Patanjali (T4 case-study sources via search, not saved as evidence). Pullback in the 2000s: only T4 reports ('HUL may pull out the brand') - UNCONFIRMED. Today: regional (South India) brand per HUL's own words in FY20-21; dropped from AR narrative from FY22. Calibration row (pre-2020, named in study scope).</t>
  </si>
  <si>
    <t>Love Beauty &amp; Planet (Unilever global brand, launched in India by HUL)</t>
  </si>
  <si>
    <t>ARR (company-stated annualised run-rate), combined with Simple; brand-only figure not disclosed</t>
  </si>
  <si>
    <t>Purpose-led 'clean/vegan' masstige brand aimed at a digital, sustainability-minded cohort HUL's mass brands did not reach; built inside the group, not bought.</t>
  </si>
  <si>
    <t>Stable</t>
  </si>
  <si>
    <t>P1: AR FY24 (S132 p.51): 'early success in two of the brands launched by the Premium Beauty Business unit (PBBU) - Simple and Love, Beauty &amp; Planet with their combined ARR scaling Rs 100 crores within 3 years'; AR FY25 (S133 p.22): 'Novology, Simple and Love, Beauty &amp; Planet... delivering strong growth'. P2: mentioned FY20-FY25, 0 in FY26. P3: lovebeautyandplanet.in live (HTTP 200, 2026-10-10). P4: Wayback 49 monthly captures 2021-06 to 2026-03 (S124).</t>
  </si>
  <si>
    <t>S128;S132;S133;S124</t>
  </si>
  <si>
    <t>Launch: AR FY20 (S128 p.5): 'During the year, we also launched, a purpose-driven brand from the Unilever stable, Love, Beauty and Planet' -&gt; launched in FY20 (Apr 2019-Mar 2020); month UNCONFIRMED, year_start=2019 is a best estimate, so calibration. AR FY21 also says HUL 'introduced' it in India; secondary search snippets say 2018 (global launch was 2018) - see conflicts.md. Caveat: a Unilever global brand localised by HUL, not an Indian ground-up build. revenue_inr_cr blank: only a combined Simple + LB&amp;P ARR of Rs 100 Cr (FY24) is disclosed; Simple is a Unilever-acquired brand, so not attributable. Not named in FY26 AR (PBBU list there: Minimalist, OZiva, Simple, Nexxus, Liquid I.V.).</t>
  </si>
  <si>
    <t>Acne Squad</t>
  </si>
  <si>
    <t>Digital-first acne brand for 'hyper-connected' Gen Z consumers, a cohort HUL's mass skincare (Pond's, Glow &amp; Lovely) did not own; built in-house via HUL's Agile Innovation Hub.</t>
  </si>
  <si>
    <t>Withdrawn</t>
  </si>
  <si>
    <t>P2: AR FY23 only (S131 p.13: 'we launched two new brands Acne Squad and Find Your Happy Place'); 0 mentions FY24-FY26, while FY24 AR credits only Simple and LB&amp;P with 'early success'. P3: acnesquad.in returns HTTP 404 'Store unavailable... This store is currently unavailable' (Shopify), checked 2026-10-10. P4: Wayback has no live (200) capture; last capture 2025-04-06 = 404 (S124).</t>
  </si>
  <si>
    <t>https://www.bseindia.com/xml-data/corpfiling/AttachHis/dbf3868a-97f3-43ed-b5ce-47e83261fdc4.pdf</t>
  </si>
  <si>
    <t>S131;S132;S124</t>
  </si>
  <si>
    <t>Launch FY23 (Apr 2022-Mar 2023); trade press dates the launch to early Oct 2022 (fashionnetwork, 2022-10-04, search snippet only, T3, not saved). AR FY23 (S131): 'a range of 11 skincare products and curated regime kits'; launched 'using the Agile Innovation platform'. 'Withdrawn' is inferred from the dead D2C store + silence in 3 subsequent ARs; HUL has not announced a discontinuation (none found). Marketplace (Nykaa/Amazon) listing status UNCONFIRMED: Nykaa returned 403 to scripted check (not bypassed). revenue: never disclosed.</t>
  </si>
  <si>
    <t>Find Your Happy Place</t>
  </si>
  <si>
    <t>Premium 'mood-transforming' bath &amp; body brand crafted for digital consumers; a premium self-care cohort HUL's mass bath brands did not serve.</t>
  </si>
  <si>
    <t>P2: AR FY23 only (S131 p.18: 'Find Your Happy Place is a premium brand that provides experiential mood transforming Bath and Body ranges'); 0 mentions FY24-FY26. P3: findyourhappyplace.in returns HTTP 402 'Store unavailable... If you would like to reactivate your store contact Shopify support' (2026-10-10). P4: Wayback last live (200) capture 2023-11-13; later captures 403 (S124).</t>
  </si>
  <si>
    <t>S131;S124</t>
  </si>
  <si>
    <t>Launched FY23 (Apr 2022-Mar 2023); first Wayback capture of the site 2022-11-15 (200), so launch c. H2 2022, year_start=2022 (month UNCONFIRMED). Withdrawal inferred (store frozen + AR silence); no HUL announcement found. Live for ~1 year on the evidence of Wayback captures.</t>
  </si>
  <si>
    <t>Novology</t>
  </si>
  <si>
    <t>Masstige derma-therapeutic skincare built in-house to reach the 'actives' cohort that later drove the Minimalist acquisition (2025).</t>
  </si>
  <si>
    <t>Unclear</t>
  </si>
  <si>
    <t>P1: AR FY25 (S133 p.22): 'we expanded our masstige portfolio through Novology, Simple and Love, Beauty &amp; Planet. Each of these brands have a sharp positioning and are delivering strong growth'. P2: AR FY23, FY24, FY25 narrative; FY26 only in an R&amp;D technology table (S134 p.58), not in the FY26 premium list. P3/P4: no brand domain found (novology.in DNS fail, no Wayback captures) - UNCONFIRMED.</t>
  </si>
  <si>
    <t>excluded_unclear</t>
  </si>
  <si>
    <t>S131;S132;S133;S134;S124</t>
  </si>
  <si>
    <t>Launch: AR FY23 (S131 p.18): 'We have also launched a masstige beauty brand Novology in the growing segment of Derma-therapeutic Care'; AR FY24 p.63: 'Novology Hyper Pigmentation Serum that was launched in 2023' -&gt; year_start 2023 (Jan-Mar 2023). Technology imported from Unilever under the TCA (AR FY24 p.63). Dropped from FY26 narrative the year after HUL bought Minimalist - a signal worth watching, not proof of withdrawal.</t>
  </si>
  <si>
    <t>Saffola Immuniveda (incl. Saffola Arogyam Chyawanamrut)</t>
  </si>
  <si>
    <t>Marico's 'first range of Ayurvedic products' (press release): entry into immunity/ayurveda, a category Marico had no presence in, under the Saffola masterbrand.</t>
  </si>
  <si>
    <t>P2: brand list includes 'Saffola Immuniveda' in AR FY21 (S143 p.16), FY22, FY24 (S146 p.21); absent from the FY25 (S147 p.29) and FY26 (S148 p.22) brand lists. 'Saffola Arogyam' appears in FY21 only. P1: FY21 AR p.24 groups it with Covid-era 'immunity' launches. P3: saffola.in Immuniveda pages return 403 to scripted check (not bypassed) - UNCONFIRMED; P4: no Wayback captures (S207).</t>
  </si>
  <si>
    <t>https://marico.com/media_pdf/press-release-marico-limited-launches-ayurvedic-products.pdf</t>
  </si>
  <si>
    <t>S118;S143;S146;S147;S148;S207</t>
  </si>
  <si>
    <t>Launched 2020-09-16 (S118 p.1: 'Marico Limited, one of India's leading FMCG companies, has strengthened its position in the healthy foods and immunity-boosting segment, with the launch of the Saffola ImmuniVeda range'; Kadha Mix + Golden Turmeric Milk Mix; chyawanprash added 2021). AR FY21 (S143 p.24): 'introduced Saffola Honey, Saffola Arogyam Chyawanamrut Awaleha, Saffola Oodles, Saffola Mealmaker Soya Chunks and traditional immunity boosters under Saffola Immuniveda'. Status 'Withdrawn' = dropped from the parent's own brand list (P2) after the Covid immunity spike faded; no discontinuation announcement found, so Low confidence. Revenue never disclosed.</t>
  </si>
  <si>
    <t>Veggie Clean</t>
  </si>
  <si>
    <t>Fruit-and-vegetable wash: a Covid-era entry into home hygiene, a category Marico had not been in.</t>
  </si>
  <si>
    <t>P1: AR FY21 (S143 p.24) calls the hygiene launches 'tactical plays into hygiene categories'. P2: in AR FY20 (S142 p.25: 'Marico has introduced Mediker Hand Sanitizer and Veggie Clean in India') and FY21 product tables; 0 mentions FY22-FY26. P4: Marico's Veggie Clean brand page last captured live 2021-09-18, later 406 (S207).</t>
  </si>
  <si>
    <t>excluded_out_of_scope</t>
  </si>
  <si>
    <t>https://www.bseindia.com/bseplus/AnnualReport/531642/5316420320.pdf</t>
  </si>
  <si>
    <t>S142;S143;S207</t>
  </si>
  <si>
    <t>Launched c. Mar-Apr 2020 (FY20 AR, published Aug 2020, already lists it; exact date UNCONFIRMED). The parent itself framed it as tactical, i.e. never meant to be scaled - a 'planned' exit rather than a failed bet. Withdrawal inferred from AR silence since FY22.</t>
  </si>
  <si>
    <t>The Derma Co</t>
  </si>
  <si>
    <t>FY26</t>
  </si>
  <si>
    <t>ARR (company-stated annualised net revenue run-rate, '&gt;INR 750 Cr'); not audited revenue</t>
  </si>
  <si>
    <t>Mamaearth (toxin-free/natural) did not reach the ingredient-aware 'actives' cohort; The Derma Co was built to serve it.</t>
  </si>
  <si>
    <t>Scaled</t>
  </si>
  <si>
    <t>P1: AR FY26 (S165 p.8): 'Derma Co. crossed Rs 750 Cr ARR'; Q2 FY26 press release (S120 p.2): 'crossing INR 750 Cr ARR milestone'; AR FY24 (S163 p.17): 'Rs 500 Cr+ Net ARR of The Derma Co. within 50 Months of Launch'. P2: mentioned in every Honasa AR FY24-FY26. P3: thedermaco.com live (S125).</t>
  </si>
  <si>
    <t>https://www.bseindia.com/xml-data/corpfiling/AttachHis/7fba52ba-0385-411a-a015-554d602cdb2c.pdf</t>
  </si>
  <si>
    <t>S165;S120;S163;S121;S125</t>
  </si>
  <si>
    <t>Launch-month conflict: AR FY24 (S163 p.12) 'Since The Derma Co's launch in March 2020' vs AR FY26 (S165 p.13) 'The Derma Co, launched in February 2020' - year 2020 either way; see conflicts.md. Break-even: 'achieving break-even in all quarters of FY24' (S121 p.2). LISTING CAVEAT: built while Honasa was unlisted (IPO Nov 2023); valid for Tab B because Honasa is listed now and discloses brand-level ARR, but it was not a listed-company build decision (cf. D13 for Tab A).</t>
  </si>
  <si>
    <t>Aqualogica</t>
  </si>
  <si>
    <t>ARR (company-stated, 'crossed Rs 200 Cr ARR'); not audited revenue</t>
  </si>
  <si>
    <t>Hydration-led, fruit-plus-actives skincare for younger, climate-specific needs: a sharper sub-cohort than Mamaearth or The Derma Co served.</t>
  </si>
  <si>
    <t>P1: AR FY26 (S165 p.8): 'Aqualogica and Dr. Sheth's crossed Rs 200 Cr ARR'; AR FY24 (S163 p.17): 'Rs 180 Cr+ Net ARR of Aqualogica within 19 Months of Launch'. P2: in all Honasa ARs FY24-FY26. P3: aqualogica.in live (S125).</t>
  </si>
  <si>
    <t>S165;S163;S125</t>
  </si>
  <si>
    <t>VERIFICATION 2026-10-10: downgraded High -&gt; Medium. The FY26 figure is a joint, undated timeline bullet ('Aqualogica and Dr. Sheth's crossed Rs 200 Cr ARR'); read as each brand &gt;Rs 200 Cr (FY24 already had Aqualogica 180+ and Dr. Sheth's 150+ separately, so a combined 200 would be no milestone), but the split is not stated, and AR FY25 (S164 p.54) still says '180+Cr Net Annual Revenue Run-Rate of Aqualogica'. Brand-only FY26 ARR UNCONFIRMED. Launch: AR FY24 (S163 p.7): 'Aqualogica was launched in 2021'. Growth flattened: ~Rs 180 Cr ARR at 19 months (c. 2022-23) vs ~Rs 200 Cr by FY26, i.e. scaled fast, then plateaued. LISTING CAVEAT: built pre-IPO (Honasa listed Nov 2023).</t>
  </si>
  <si>
    <t>Ayuga</t>
  </si>
  <si>
    <t>Herbal/ayurvedic skincare ('golden generation of skin rituals') aimed at an ayurveda-leaning millennial cohort.</t>
  </si>
  <si>
    <t>P2: AR FY24 (S163 p.8: 'Ayuga is a natural skincare brand bringing the golden generation of skin rituals back'), 9 mentions; FY25 only in BRSR/legal notes (S164 p.108); 0 mentions FY26 (FY26 brand list: Mamaearth, The Derma Co, Aqualogica, Dr Sheths, BBlunt, Staze, Lumineve). P3: ayuga.in HTTP 402 'Store unavailable' (Shopify), 2026-10-10. P4: Wayback first capture 2021-11-27, last live capture 2025-10-13 (S125).</t>
  </si>
  <si>
    <t>https://www.bseindia.com/xml-data/corpfiling/AttachHis/dec5ef82-91a6-436e-9568-9071207db3aa.pdf</t>
  </si>
  <si>
    <t>S163;S164;S165;S125</t>
  </si>
  <si>
    <t>year_start 2021 from first Wayback capture of ayuga.in (2021-11-27); launch date not stated in the ARs - UNCONFIRMED beyond the year. Withdrawal inferred (store frozen after Oct 2025 + dropped from the FY26 brand list); no announcement found. Never given an ARR milestone, unlike its siblings. LISTING CAVEAT: launched pre-IPO.</t>
  </si>
  <si>
    <t>Staze (Staze 9to9)</t>
  </si>
  <si>
    <t>BPC-ColourCosmetics</t>
  </si>
  <si>
    <t>Honasa had no colour-cosmetics brand; Staze is its first ('to capture share of color cosmetics', S122).</t>
  </si>
  <si>
    <t>P1: AR FY25 (S164 p.30): in lipsticks, 'Led by Staze and Mamaearth within Honasa, we are just getting started and currently hold &lt;1% market share online'; AR FY26 (S165 p.10): 'Staze 9to9 keeps building for the Gen Z consumer'. No ARR disclosed. P2: FY24-FY26 ARs. P3: stazebeauty.com live (S125).</t>
  </si>
  <si>
    <t>https://bseindia.com/xml-data/corpfiling/AttachHis/74ed43be-519b-4442-920a-9d400ee5e170.pdf</t>
  </si>
  <si>
    <t>S122;S164;S165;S125</t>
  </si>
  <si>
    <t>Launched 2024-03-28 (S122 p.2: 'HONASA CONSUMER LAUNCHES STAZE, TO CAPTURE SHARE OF COLOR COSMETICS'); post-IPO build. Niche = still supported but no ARR milestone and &lt;1% online lipstick share (combined with Mamaearth) after ~1 year; 2.5 years old at the check date, so the verdict is provisional.</t>
  </si>
  <si>
    <t>Godrej Fab (liquid detergent)</t>
  </si>
  <si>
    <t>ARR (company-stated 'annualised revenue run rate of nearly Rs 490 crore'); FY25 'topline' &gt;Rs 150 Cr</t>
  </si>
  <si>
    <t>GCPL already sold liquid detergent (Ezee, north/east); Fab is a mass-priced regional build (South India) to add share and scale in a category it knew.</t>
  </si>
  <si>
    <t>P1: AR FY26 (S162 p.42): 'In fiscal year 2026, Fab reached an annualised revenue run rate of nearly Rs 490 crore in a category approximately Rs 4,000 crore in size, having moved from loss-making in its early years to near break-even'; AR FY25 (S161 p.39): 'Fab, our new liquid detergent brand, crossed Rs 150 crore topline in its first year'. P2: AR FY24-FY26; one of three 'Speedboats' (FY26 p.43).</t>
  </si>
  <si>
    <t>https://www.bseindia.com/xml-data/corpfiling/AttachHis/44575d54-1aad-467f-b360-4098a29f22d2.pdf</t>
  </si>
  <si>
    <t>S162;S161;S160</t>
  </si>
  <si>
    <t>Launched 2024-01-16 in South India at Rs 99/litre (T3 trade press via search: afaqs/exchange4media, not saved; AR FY24 lists 'Fab Liquid Detergent' among new launches). Home care, outside the BPC/food taxonomy (category=Other); kept because it is the cleanest recent in-house scale-up by a Tab A parent. Not a new category for GCPL (Ezee) - this is a value-tier regional build.</t>
  </si>
  <si>
    <t>Godrej Ninja (Godrej Pet Care Ltd)</t>
  </si>
  <si>
    <t>total_income ('Total Revenue' of subsidiary Godrej Pet Care Ltd, Rs 222.1 lakh)</t>
  </si>
  <si>
    <t>GCPL had no pet food business; AR FY25 calls Ninja 'our entry into pet food'.</t>
  </si>
  <si>
    <t>P1: S073 (Reg 30, 2026-07-22): 'Total Revenue of Godrej Pet Care for the Financial Year ended March 31, 2026 was Rs 222.1 Lakh'; FY24 73.11 / FY25 46.33 / FY26 222.1 lakh. AR FY25 (S161 p.39): 'Godrej Ninja, our entry into pet food, is a launch we did in record time'. P2: 'Ninja' appears in AR FY25, 0 times in AR FY26 (only 'Pet Care' as a category). P3: godrejninja.com 403 to scripted check (not bypassed); P4: live Wayback captures 2025-09 to 2026-04 (S207).</t>
  </si>
  <si>
    <t>https://www.bseindia.com/xml-data/corpfiling/AttachHis/eafdff8f-cb1c-455f-9402-fff424b8ee37.pdf</t>
  </si>
  <si>
    <t>S073;S161;S162;S207</t>
  </si>
  <si>
    <t>Entry disclosed 2024-08-07 (per S073); brand launched in Tamil Nadu 2025-04-08 (T3 press via search; GCPL press release PDF returned 403, S119, not bypassed). Planned investment Rs 500 Cr over 5 years (press, T3); actual primary infusion Rs 200 Cr (S073). FY26 revenue Rs 2.22 Cr after ~1 year: Niche, provisional given age. FY24/FY25 revenue predates the brand (entity was Godrej Consumer Care Ltd, renamed 2024-10-28). Low revenue may partly reflect a single-state rollout.</t>
  </si>
  <si>
    <t>Godrej Protekt</t>
  </si>
  <si>
    <t>Hand and home hygiene beyond soap: Protekt was GCPL's vehicle to enter handwash/sanitiser, where it had no brand.</t>
  </si>
  <si>
    <t>P2: AR FY19 (S127 p.151: launches 'during the year 2018-19: 1. Protekt-Mr. Magic Hand Wash'), FY20 (7 mentions), FY21 (13), FY22 (1, brand table only); 0 mentions FY23-FY26. P1: none - no discontinuation statement found. P3: godrejprotekt.com no response on 2026-10-10; P4: last live Wayback capture 2023-03-13 (S207).</t>
  </si>
  <si>
    <t>https://www.bseindia.com/bseplus/AnnualReport/532424/5324240319.pdf</t>
  </si>
  <si>
    <t>S127;S156;S157;S158;S207</t>
  </si>
  <si>
    <t>Protekt domain has Wayback captures from 2009, so the name may be older than the FY19 Mr. Magic launch - original launch year UNCONFIRMED. Mr. Magic: FY19 launch (Apr 2018-Mar 2019; calendar month UNCONFIRMED; year_start 2018 by the FY rule: an FY-only launch takes the calendar year holding 9 of its 12 months), so calibration. Covid expansion: Jul 2020, 12 new hygiene SKUs and stated ambition to be a 'Rs 500 crore brand over the next three years' (fashionnetwork/exchange4media, T3, search snippet only). Disappears from ARs after FY22: the Covid hygiene spike ended and the ambition went unmet. Withdrawal inferred from AR silence (Low).</t>
  </si>
  <si>
    <t>Dabur Vita</t>
  </si>
  <si>
    <t>Dabur's 'foray into the Health Food Drink category' (S117); it had chyawanprash and honey but no HFD brand.</t>
  </si>
  <si>
    <t>P1: AR FY25 (S176 p.25): 'we have decided to exit categories such as Vedic Tea, Adult &amp; Baby Diapers, and Dabur Vita, where scalability and profitability remain constrained'; AR FY26 (S177 p.85): 'We exited segments such as Vedic Tea, Adult &amp; Baby Diapers, and Dabur Vita'. P2: AR FY22 12 mentions -&gt; FY23 7 -&gt; FY24 5 -&gt; FY25/FY26 only as an exit. P3: daburvita.com redirects to a still-live brand page on dabur.com (2026-10-10; residual page, stock UNCONFIRMED). P4: last live Wayback capture of daburvita.com 2024-03-04 (S206).</t>
  </si>
  <si>
    <t>https://dabur.com/press-releases/dabur-enters-health-food-drink-category-dabur-vita</t>
  </si>
  <si>
    <t>S117;S173;S176;S177;S206</t>
  </si>
  <si>
    <t>Launched 2021-12-30 (S117: 'Dabur India Ltd. today announced its foray into the Health Food Drink category with the launch of Dabur Vita'; e-commerce launch with Flipkart, 7 SKUs Rs 10-430). Explicit, parent-stated exit ~3 years after launch: the clearest T1-documented build failure in the set. Revenue never disclosed.</t>
  </si>
  <si>
    <t>Tata Simply Better</t>
  </si>
  <si>
    <t>Launched as TCPL's 'entry into protein platform' with plant-based meat, a category it had no presence in; later re-purposed for cold-pressed oils.</t>
  </si>
  <si>
    <t>P1: AR FY23 (S152 p.21): 'entered the Protein category with plant-based meat under the brand Tata Simply Better'; AR FY24 (S153 p.140): 'launched last year with an innovative portfolio of plant-based meat... complemented by a new range of cold-pressed oils'; AR FY26 (S155 p.25): 'Tata Simply Better expanded its cold-pressed oils portfolio and extended into dry fruit snacking'. P2: in every TCPL AR FY23-FY26. P3: tatasimplybetter.com live ('Buy Cold Pressed Oils Online'), 2026-10-10; P4: Wayback live 2023-03 to 2026-09 (S206).</t>
  </si>
  <si>
    <t>https://www.bseindia.com/xml-data/corpfiling/AttachHis/c0f1ba05-3b73-4ae8-b105-709cf2f22ea3.pdf</t>
  </si>
  <si>
    <t>S152;S153;S154;S155;S206</t>
  </si>
  <si>
    <t>Launched FY23 (Apr 2022-Mar 2023) as plant-based meat; year_start 2022 (month UNCONFIRMED). The original proposition (plant-based meat) is no longer mentioned after FY24; the brand survives by pivoting to cold-pressed oils (FY24) and dry-fruit snacks (FY26). 'Stable' = alive and extended, but no revenue disclosed and not one of the growth brands TCPL quantifies. Counted as a pivot, not a success, in the base rate.</t>
  </si>
  <si>
    <t>Tata GoFit</t>
  </si>
  <si>
    <t>Plant protein powder: second leg of TCPL's 2022 'protein platform', a category it had not been in.</t>
  </si>
  <si>
    <t>P2: AR FY23 (S152 p.21: 'plant protein powder under Tata GoFit'), FY24 brand list (S153 p.15), FY25 (brand-name cover collage only); 0 mentions in AR FY26, whose brand list (S155 p.15) omits it. P3: tatagofit.com live D2C store ('Tata GoFit Plant Protein | Plant Based Protein Powder for Women'), 2026-10-10. P4: Wayback 31 monthly captures 2023-01 to 2026-03, all live (S206).</t>
  </si>
  <si>
    <t>CORRECTION: first coded Withdrawn from the FY26 AR silence alone; the live D2C store (P3/P4) contradicts that, so Niche: still sold, dropped from the parent's brand list. Lesson: AR silence = de-prioritised, not dead. Launched FY23 alongside Simply Better PBM; year_start 2022 (month UNCONFIRMED). In FY24 AR p.45 TCPL calls it a 'digital brand'. No exit statement found. Note TCPL bought Organic India (2024), which overlaps the wellness space.</t>
  </si>
  <si>
    <t>Tata Sampann (built by Tata Chemicals Ltd; merged into TCPL 2020)</t>
  </si>
  <si>
    <t>revenue as charted by TCPL ('Tata Sampann Revenue (INR Crores)'); ops vs total income not stated</t>
  </si>
  <si>
    <t>Group-built pulses/spices staples brand: the Tata group's in-house entry into branded staples beyond salt.</t>
  </si>
  <si>
    <t>P1: AR FY25 (S154 p.42): '29% Tata Sampann revenue growth', chart 'Tata Sampann Revenue (INR Crores)' with FY25 = 1,109 (FY24 862; 862 x 1.29 = 1,112, consistent). P2: in every TCPL AR FY20-FY26.</t>
  </si>
  <si>
    <t>https://www.bseindia.com/bseplus/AnnualReport/500800/5008000320.pdf</t>
  </si>
  <si>
    <t>S149;S154</t>
  </si>
  <si>
    <t>ORIGIN: not a TCPL build. AR FY20 (S149 p.5): 'Tata Global Beverages was renamed as Tata Consumer Products, following the merger of the Consumer Products business of Tata Chemicals with itself... Tata Salt and Tata Sampann'. Built in-house by Tata Chemicals Ltd (listed). year_start UNCONFIRMED: recalled as 2017 (C045) but no primary source found; certainly pre-2020. Chart labels in the extracted PDF text are out of order; only FY25=1,109 and FY24=862 are cross-checked via the stated 29% growth.</t>
  </si>
  <si>
    <t>Nykd by Nykaa</t>
  </si>
  <si>
    <t>GMV (gross merchandise value, '&gt;Rs 150 crores (GMV)'); not revenue</t>
  </si>
  <si>
    <t>Lingerie/athleisure: Nykaa's own-brand entry into intimate wear, a category it had only retailed.</t>
  </si>
  <si>
    <t>P1: AR FY25 (S169 p.20): 'two brands - 20 Dresses and Nykd, already more than Rs 100 crores (GMV) and Rs 150 crores (GMV) brands, respectively in FY2025'; AR FY24 (S168 p.11): 'Both Kay Beauty and Nykd By Nykaa have an annualised GMV run rate of over Rs 1,500 million (basis Q4FY24)'. P2: AR FY24-FY26. FY26 (S170 p.87): expanded into sleepwear and activewear.</t>
  </si>
  <si>
    <t>https://www.bseindia.com/xml-data/corpfiling/AttachHis/316c7dec-30ff-437b-8fe1-8f515bebcaf8.pdf</t>
  </si>
  <si>
    <t>S168;S169;S170</t>
  </si>
  <si>
    <t>Launch: AR FY24 (S168 p.67): 'We launched Nykd in 2020'; AR FY26 p.87: 'Introduced in 2020'. GMV, not net revenue: Scaled on GMV only. LISTING CAVEAT: launched pre-IPO (Nykaa listed Nov 2021). Fashion brands as a group slowed in FY25 ('Growth slowdown in FY2025') and FY26 fashion GMV was Rs 388 Cr across 5 brands.</t>
  </si>
  <si>
    <t>Kay Beauty (co-created with Katrina Kaif)</t>
  </si>
  <si>
    <t>GMV ('crossed the GMV of Rs 240 crores'); FY26 stated as Rs 250-350 Cr NSV jointly with Nykaa Cosmetics</t>
  </si>
  <si>
    <t>Celebrity-led makeup brand: built to borrow a celebrity's cohort, which Nykaa Cosmetics (value makeup) did not have.</t>
  </si>
  <si>
    <t>P1: AR FY25 (S169 p.16): 'Kay Beauty and Nykaa Cosmetics have crossed the GMV of Rs 240 crores and Rs 350 crores, respectively'; AR FY26 (S170 p.23): 'Nykaa Cosmetics &amp; Kay Beauty have both reached a Rs 250-350 crores NSV'. P2: AR FY22-FY26.</t>
  </si>
  <si>
    <t>Launch: AR FY24 (S168 p.18): 'Kay Beauty, India's first celebrity beauty brand launched in FY20' -&gt; FY20 = Apr 2019-Mar 2020; year_start 2019 (recalled 2019, C052). Calibration (pre-2020). Partly a celebrity partnership, so not a pure in-house build. Entered UK via Space NK (FY26).</t>
  </si>
  <si>
    <t>Bingo!</t>
  </si>
  <si>
    <t>annual consumer spend (retail value, 'nearly Rs 2700 cr'); NOT company revenue</t>
  </si>
  <si>
    <t>ITC's in-house entry into branded salty snacks.</t>
  </si>
  <si>
    <t>P1: AR FY20 (S135 p.10): 'Bingo! nearly Rs 2700 cr' annual consumer spend; 'Bingo! is No. 1 in Bridges segment of Snack Foods'. AR FY25 (S140 p.75): 'remains the market leader in the Bridges segment across the country'. P2: every ITC AR FY20-FY26.</t>
  </si>
  <si>
    <t>https://www.bseindia.com/bseplus/AnnualReport/500875/5008750320.pdf</t>
  </si>
  <si>
    <t>S135;S140</t>
  </si>
  <si>
    <t>Launch year 2007 from secondary sources only (search snippets, T4) - ITC primary not checked; year Low confidence. Consumer-spend figures are not repeated after FY20 AR.</t>
  </si>
  <si>
    <t>Sunfeast YiPPee!</t>
  </si>
  <si>
    <t>annual consumer spend (retail value, 'nearly Rs 1300 cr'); NOT company revenue</t>
  </si>
  <si>
    <t>ITC's in-house entry into instant noodles against an entrenched leader (Maggi).</t>
  </si>
  <si>
    <t>P1: AR FY20 (S135 p.10): 'YiPPee! nearly Rs 1300 cr' annual consumer spend; AR FY25 (S140 p.75): 'YiPPee! sustained its position as a strong No. 2 brand in the Instant Noodles' segment. P2: every ITC AR FY20-FY26.</t>
  </si>
  <si>
    <t>Launch year 2010 from secondary sources only (T4); ITC primary not checked.</t>
  </si>
  <si>
    <t>Fabelle</t>
  </si>
  <si>
    <t>Luxury chocolates sold through ITC Hotels boutiques: built to reach a luxury cohort ITC's mass foods did not touch.</t>
  </si>
  <si>
    <t>P1: AR FY20 (S135 p.90): 'exclusive boutiques across 8 ITC Hotels and kiosks at 3 Welcomhotels'; AR FY25 (S140 p.76): 'opened an exclusive Fabelle store at Bengaluru airport, expanding the availability... beyond the luxury boutiques at ITC Hotels and Quick-Commerce channel'. No scale figure ever disclosed. P2: every ITC AR FY20-FY26 (1-4 mentions/yr).</t>
  </si>
  <si>
    <t>Launch April 2016 per secondary sources (T4); ITC primary not checked. Niche by design (luxury, hotel-led); ITC's mass chocolate push came later under 'Sunfeast Fantastik' (FY24).</t>
  </si>
  <si>
    <t>Bajaj Zero Grey</t>
  </si>
  <si>
    <t>Premium anti-greying oil sold 'primarily for E-commerce': aimed at an online, premium cohort that mass Almond Drops did not reach.</t>
  </si>
  <si>
    <t>P2: AR FY20 (S192 p.27: 'Bajaj Zero Grey Anti Greying Hair Oil was launched on Ecommerce platforms and in select Pharmacy outlets earlier this year'), FY21 (S193 p.7: 'our digital first brand that has been launched primarily for E-commerce'); FY22-FY23 only in the corporate timeline; 0 mentions FY24-FY26. P3: bajajzerogrey.com gives no response (SSL error) on 2026-10-10. P4: Wayback last live capture 2025-07-10 (S206).</t>
  </si>
  <si>
    <t>https://www.bseindia.com/bseplus/AnnualReport/533229/65052533229.pdf</t>
  </si>
  <si>
    <t>S192;S193;S195;S206</t>
  </si>
  <si>
    <t>Status Withdrawn (Low): domain dead on the check date and AR silent since FY24, but the site was live as late as 2025-07, so it outlived its AR coverage. Launched early 2020 (AR FY22 S194 p.5 timeline: '2020 ... Launched Bajaj Zero Grey Hair Oil'). Not in the FY24 'Digital Brands' list (which names only 100% Pure and Natyv Soul), i.e. dropped within ~3 years; no exit statement found.</t>
  </si>
  <si>
    <t>Natyv Soul</t>
  </si>
  <si>
    <t>Premium imported-oil (argan/marula) hair range: a digital-first premium cohort Bajaj's mass hair oils did not serve.</t>
  </si>
  <si>
    <t>P2: AR FY22 14 mentions (S194 p.4: 'the launch of Natyv Soul and Bajaj 100% Pure brands to address the ever-evolving needs of the new-age consumers'), FY23 22, FY24 1 (listed under 'Digital Brands'), FY25 1 (brand tile only), FY26 0. P3: natyvsoul.com now redirects to a brand page on the corporate site (bajajconsumercare.com/natyv-soul), 2026-10-10. P4: Wayback last live capture of the standalone store 2023-10-01 (S206).</t>
  </si>
  <si>
    <t>https://www.bseindia.com/bseplus/AnnualReport/533229/73482533229.pdf</t>
  </si>
  <si>
    <t>S194;S195;S196;S198;S206</t>
  </si>
  <si>
    <t>Launched 2021 (AR FY22 S194 p.5 timeline: '2021 ... Launched two digital first brands: Bajaj 100% Pure and Natyv Soul'). Mentions collapse from 22 (FY23) to 1 (FY24) and to 0 (FY26); standalone D2C store closed after 2023 but products still shown on the corporate site, so Niche (not Withdrawn). Marketplace availability UNCONFIRMED.</t>
  </si>
  <si>
    <t>Bajaj 100% Pure (coconut oil range)</t>
  </si>
  <si>
    <t>Bajaj's entry into pure coconut oil ('we entered the coconut oil category'), a large category it had not been in.</t>
  </si>
  <si>
    <t>P1: AR FY24 (S196 p.5): 'We are scaling up Bajaj 100% Pure Coconut Oil across all the channels... the top line for coconut oil witnessed 36% growth in the financial year'; AR FY26 (S198 p.11): 'Bajaj 100% Pure Coconut Oil delivered a resilient performance this fiscal year'. P2: FY22-FY26 every year (15/21/14/14/3).</t>
  </si>
  <si>
    <t>S194;S195;S196;S198</t>
  </si>
  <si>
    <t>Launched 2021 as a 'digital first' brand, then taken to all channels: the one Bajaj digital launch that survived, by becoming a mainstream coconut-oil range. No revenue disclosed; '36% growth' is for the coconut oil topline. Stable, not Scaled (no size disclosed; FY26 mentions fall to 3).</t>
  </si>
  <si>
    <t>I'mlite</t>
  </si>
  <si>
    <t>Sugar blended with stevia: extends Zydus's sugar-substitute franchise (Sugar Free) into the much larger sugar shelf.</t>
  </si>
  <si>
    <t>P1: AR FY24 (S189 p.13): 'We also celebrated the launch of a new brand, I'mlite, a unique formulation of sugar blended with stevia to offer consumers 50% fewer calories than regular sugar'. P2: in AR FY24-FY26 brand lists (FY26 S191 p.7). No performance figure disclosed.</t>
  </si>
  <si>
    <t>https://www.bseindia.com/xml-data/corpfiling/AttachHis/ef8bd328-7e9d-4789-80b2-216a27e41d31.pdf</t>
  </si>
  <si>
    <t>S189;S190;S191</t>
  </si>
  <si>
    <t>FY24 launch (month UNCONFIRMED; year_start 2023 by the FY rule). Still listed but never quantified; too little evidence to call it Stable or Niche.</t>
  </si>
  <si>
    <t>Independence</t>
  </si>
  <si>
    <t>'sales' as stated (~Rs 2,600 crore); gross vs net not stated</t>
  </si>
  <si>
    <t>RCPL's own FMCG staples brand: Reliance's in-house entry into branded packaged staples (it previously only retailed them).</t>
  </si>
  <si>
    <t>P1: RIL AR FY26 (S205 p.47): 'Independence brand achieved ~Rs 2,600 crore sales'; AR FY25 (S204 p.34): 'Flagship brands such as Campa and Independence are gaining momentum'. P2: RIL AR FY23-FY26.</t>
  </si>
  <si>
    <t>excluded_captive_channel</t>
  </si>
  <si>
    <t>https://rilstaticasset.akamaized.net/sites/default/files/2022-12/Media-Release-RRVL-15122022.pdf</t>
  </si>
  <si>
    <t>S116;S202;S204;S205</t>
  </si>
  <si>
    <t>Launched 2022-12-15 in Gujarat (S116 p.1: 'Reliance Consumer Products Ltd., the FMCG arm and a fully owned subsidiary of Reliance Retail Ventures Ltd., today launched its indigenous made-for-India consumer packaged goods brand, INDEPENDENCE in Gujarat'). Parent per D4: RCPL counted under RIL (listed). CAVEAT: sold heavily through the group's own retail (Reliance Retail/JioMart), a captive channel no other Tab B parent has - scale is not comparable like-for-like. Medium (single T1 figure, basis unstated).</t>
  </si>
  <si>
    <t>Campa (HYBRID: dormant name bought 2022, brand rebuilt in-house)</t>
  </si>
  <si>
    <t>gross sales ('Rs 4,700+ crore in gross sales'); not net revenue</t>
  </si>
  <si>
    <t>Reliance had no beverage brand; it bought only a dormant trademark (recall, no revenue or team) and built the business itself - entry by build on a bought name.</t>
  </si>
  <si>
    <t>P1: RIL AR FY26 (S205 p.47): 'Campa achieved Rs 4,700+ crore in gross sales in FY 2025-26. In March 2026, it became India's fourth-largest carbonated soft drinks brand'; AR FY25 (S204 p.34): '&gt;10% market share in sparkling beverage category in select states'. P2: RIL AR FY23-FY26.</t>
  </si>
  <si>
    <t>excluded_hybrid</t>
  </si>
  <si>
    <t>https://www.bseindia.com/xml-data/corpfiling/AttachHis/b55b5dfc-a3bf-4f24-9d7f-ca09774a1dd9.pdf</t>
  </si>
  <si>
    <t>S202;S204;S205;S112</t>
  </si>
  <si>
    <t>HYBRID - excluded from the pure-build base rate; discussed in Part 3. Trademark bought from Pure Drinks Group in 2022 (~Rs 22 Cr per PTI citing unnamed sources, S112, T3; also Tab A row). Relaunch 2023 (RIL AR FY23 S202 p.77: 'The FMCG business launched several products during the year including Independence brand and the iconic beverage brand, Campa'); relaunch month Mar 2023 per recall (C056) - month UNCONFIRMED by primary source. Beverage investment of up to Rs 8,000 Cr (S113, T4 - not relied on). Same captive-retail caveat as Independence.</t>
  </si>
  <si>
    <t>field</t>
  </si>
  <si>
    <t>value</t>
  </si>
  <si>
    <t>tie_break_rank</t>
  </si>
  <si>
    <t>inclusion_rule</t>
  </si>
  <si>
    <t>Parent had no meaningful revenue in this category before the deal</t>
  </si>
  <si>
    <t>DEFENSIVE</t>
  </si>
  <si>
    <t>The main logic is denying the asset to a competitor (contested bidding, reported rival interest)</t>
  </si>
  <si>
    <t>Parent was in the category, but the target had credibility with a consumer cohort the parent lacked</t>
  </si>
  <si>
    <t>FOUNDER_TEAM</t>
  </si>
  <si>
    <t>The people are the primary asset: revenue small relative to price, founders retained via earn-out/lock-in, AND the parent states the team is the rationale</t>
  </si>
  <si>
    <t>The main asset is a capability (D2C engine, formulation IP, supply chain), not the brand</t>
  </si>
  <si>
    <t>Parent already had the category and cohort; the deal mainly adds revenue and share</t>
  </si>
  <si>
    <t>100% acquired at first completion</t>
  </si>
  <si>
    <t>&gt;50% acquired at first completion; any later top-up of the remainder is noted, not reclassified</t>
  </si>
  <si>
    <t>First tranche &lt;=50%, with contracted further tranches taking the parent to majority or 100%</t>
  </si>
  <si>
    <t>minority_with_path</t>
  </si>
  <si>
    <t>Minority stake with options/rights to increase, but no committed schedule to control</t>
  </si>
  <si>
    <t>Non-controlling stake (&lt;=50%, incl. 50:50 JVs) with no disclosed option, right or schedule to reach control</t>
  </si>
  <si>
    <t>year_start &gt;= 2020; counts toward the study's minimums (Tab A &gt;= 10; Tab B &gt;= 5)</t>
  </si>
  <si>
    <t>Pre-2020 build or deal, used only to calibrate the Part 1 success rate (e.g. Lever Ayush, Bingo!, Yippee!)</t>
  </si>
  <si>
    <t>Face and body skincare, incl. actives/derma</t>
  </si>
  <si>
    <t>Hair oils, shampoos, hair treatments</t>
  </si>
  <si>
    <t>Brands built for men (beard, grooming, men's fragrance/deo)</t>
  </si>
  <si>
    <t>Baby care and maternity personal care</t>
  </si>
  <si>
    <t>Make-up/colour cosmetics (lips, face, eyes, nails)</t>
  </si>
  <si>
    <t>Packaged snacks, bars, breakfast/muesli, noodles, chocolate-led snacking</t>
  </si>
  <si>
    <t>Atta, rice, pulses, oils, sugar, organic staples</t>
  </si>
  <si>
    <t>Spices, masalas, sauces, ethnic cuisine mixes</t>
  </si>
  <si>
    <t>Frozen, chilled and ready-to-cook foods</t>
  </si>
  <si>
    <t>VMS, protein, ayurvedic/immunity wellness, health food drinks</t>
  </si>
  <si>
    <t>Carbonated and non-alcoholic packaged beverages</t>
  </si>
  <si>
    <t>Outside the above (home care, pet, apparel, confectionery gifting); flagged in notes</t>
  </si>
  <si>
    <t>Counts toward the Tab B base rate</t>
  </si>
  <si>
    <t>Outside the BPC/food/wellness scope of the study (home care, pet, apparel)</t>
  </si>
  <si>
    <t>Scale driven by the parent's own retail channel (Reliance Retail/JioMart); not comparable</t>
  </si>
  <si>
    <t>Bought name/asset, business built in-house; neither pure build nor pure buy</t>
  </si>
  <si>
    <t>Status cannot be called on the evidence (status_today = Unclear)</t>
  </si>
  <si>
    <t>assumption_id</t>
  </si>
  <si>
    <t>parameter</t>
  </si>
  <si>
    <t>value_low</t>
  </si>
  <si>
    <t>value_base</t>
  </si>
  <si>
    <t>value_high</t>
  </si>
  <si>
    <t>unit</t>
  </si>
  <si>
    <t>build_favourable</t>
  </si>
  <si>
    <t>Bull</t>
  </si>
  <si>
    <t>Base</t>
  </si>
  <si>
    <t>Bear</t>
  </si>
  <si>
    <t>rationale</t>
  </si>
  <si>
    <t>A01</t>
  </si>
  <si>
    <t>years_to_scale</t>
  </si>
  <si>
    <t>years from launch (Y1) to Rs 347 Cr revenue; conditional on success</t>
  </si>
  <si>
    <t>low</t>
  </si>
  <si>
    <t>S007;S163;S165;S208</t>
  </si>
  <si>
    <t>Bull = D2C-native pace: Minimalist founded 2020 (S007: 'Founded in 2020'), FY24 turnover Rs 347 Cr (S007) = ~4 yrs; The Derma Co 'Rs 500 Cr+ Net ARR ... within 50 Months of Launch' (S163 PDF p.17) = ~3.5 yrs to Rs 347 Cr. Bear = Aqualogica path: 'Rs 180 Cr+ Net ARR ... within 19 Months' (S163 p.17) then ~Rs 200 Cr ARR by FY26 (S165 p.8), i.e. not at Rs 347 Cr after 5 yrs. Base 6 = an FMCG parent slower than the fastest D2C natives (HUL's own digital-first launches never disclosed revenue). Benchmarks are survivors: conditional-on-success only.</t>
  </si>
  <si>
    <t>A02</t>
  </si>
  <si>
    <t>y1_revenue</t>
  </si>
  <si>
    <t>Rs Cr in first launch year</t>
  </si>
  <si>
    <t>high</t>
  </si>
  <si>
    <t>S007;S208</t>
  </si>
  <si>
    <t>Derived. Minimalist FY22 turnover Rs 103 Cr in its ~2nd-3rd year (S007; Entrackr says Rs 108 Cr, S208); year-1 revenue of any benchmark not disclosed. UNCONFIRMED: no year-1 benchmark.</t>
  </si>
  <si>
    <t>A03</t>
  </si>
  <si>
    <t>gross_margin_early</t>
  </si>
  <si>
    <t>% of revenue in Y1-Y2</t>
  </si>
  <si>
    <t>S163</t>
  </si>
  <si>
    <t>Derived: small batches, third-party manufacturing, launch discounting; set ~10 pts below scale margin. Honasa improved GM by procurement efficiencies (S163 PDF p.37). UNCONFIRMED: no launch-year GM disclosed.</t>
  </si>
  <si>
    <t>A04</t>
  </si>
  <si>
    <t>gross_margin_scale</t>
  </si>
  <si>
    <t>% of revenue from scale year</t>
  </si>
  <si>
    <t>S163;S165;S208;S209;S134</t>
  </si>
  <si>
    <t>Honasa '69.8% Gross Margin' FY24 (S163 PDF p.4); 'gross margin of 71.2%' FY26 (S165 PDF p.52). Minimalist materials-only margin 73% FY24 (Rs 94 Cr materials / Rs 347 Cr, S208) and 71.5% FY25 (146.7/514.8, S209) - materials only, overstates GM. Low 62 = between Honasa and HUL company GM 'Gross Margin of 50.3%' (S134 PDF p.44).</t>
  </si>
  <si>
    <t>A05</t>
  </si>
  <si>
    <t>ap_pct_launch</t>
  </si>
  <si>
    <t>Honasa: 'reducing it by over 700 bps over last three years to 34.4% in FY 23-24' (S163 PDF p.16) =&gt; &gt;41% in FY21 when Derma Co/Aqualogica were launching; a new single brand without a portfolio halo spends more. Base 50 derived.</t>
  </si>
  <si>
    <t>A06</t>
  </si>
  <si>
    <t>ap_pct_growth</t>
  </si>
  <si>
    <t>% of revenue from Y3 to scale year</t>
  </si>
  <si>
    <t>S163;S208</t>
  </si>
  <si>
    <t>Minimalist A&amp;P Rs 65 Cr / Rs 184 Cr = 35% FY23 and Rs 117 Cr / Rs 347 Cr = 34% FY24 (S208); Honasa 'Rs 6,612.80 Million (34.4% of revenue) in FY 23-24 ... Rs 5,302.78 Million (35.5% of revenue) for the FY 22-23' (S163 PDF p.37). Base 38 = HUL brand has no founder-led organic reach.</t>
  </si>
  <si>
    <t>A07</t>
  </si>
  <si>
    <t>ap_pct_scale</t>
  </si>
  <si>
    <t>% of revenue after scale</t>
  </si>
  <si>
    <t>S209</t>
  </si>
  <si>
    <t>Minimalist A&amp;P Rs 154 Cr / Rs 514.8 Cr = 30% FY25 (S209). HUL company A&amp;P Rs 6,261 Cr / Rs 64,468 Cr = 9.7% (S134 PDF p.186 and p.211) is NOT a valid benchmark for a digital brand; shown for contrast only.</t>
  </si>
  <si>
    <t>A08</t>
  </si>
  <si>
    <t>var_opex_pct</t>
  </si>
  <si>
    <t>% of revenue (distribution + fulfilment + other overheads)</t>
  </si>
  <si>
    <t>Minimalist FY25: distribution Rs 84.3 Cr (16.4%) + other overheads Rs 82 Cr (15.9%) (S209) = 32% (high). Base 25: 'other overheads' likely includes one-offs; FY24 non-material non-A&amp;P costs = (331-94-117)/347 = 35% incl. employees (S208).</t>
  </si>
  <si>
    <t>A09</t>
  </si>
  <si>
    <t>org_cost_floor</t>
  </si>
  <si>
    <t>Rs Cr per year (fixed)</t>
  </si>
  <si>
    <t>S163;S131</t>
  </si>
  <si>
    <t>Cost of a ring-fenced digital team inside FMCG (brand, performance marketing, D2C tech, content studio, e-com ops, regulatory): fixed floor before revenue covers it. Derived; Honasa ran ~6 brands on Rs 170.6 Cr employee cost in FY24 (S163 PDF p.37) = ~Rs 28 Cr per brand. HUL ran its digital-first launches via an 'Agile Innovation Hub' (S131 PDF p.31); cost not disclosed. UNCONFIRMED.</t>
  </si>
  <si>
    <t>A10</t>
  </si>
  <si>
    <t>org_cost_pct</t>
  </si>
  <si>
    <t>% of revenue (org cost = max(floor; pct x revenue))</t>
  </si>
  <si>
    <t>S163;S209</t>
  </si>
  <si>
    <t>Minimalist employee cost Rs 36.8 Cr / Rs 514.8 Cr = 7.1% FY25 (S209); Honasa 'Rs 1,705.63 Million (8.9% of revenue) in FY 23-24 from ... (11% of revenue) in FY 22-23' (S163 PDF p.37).</t>
  </si>
  <si>
    <t>A11</t>
  </si>
  <si>
    <t>rnd_floor</t>
  </si>
  <si>
    <t>Rs Cr per year (fixed; from Y0)</t>
  </si>
  <si>
    <t>S134</t>
  </si>
  <si>
    <t>UNCONFIRMED: neither Honasa nor Minimalist discloses R&amp;D spend (Honasa BRSR gives only % of R&amp;D in sustainable tech). HUL's goodwill on Minimalist is 'on account of expected synergies arising from Research &amp; Development, innovations' (S134 Note 43(F), PDF p.225). Derived floor: formulation team + stability/safety testing.</t>
  </si>
  <si>
    <t>A12</t>
  </si>
  <si>
    <t>rnd_pct</t>
  </si>
  <si>
    <t>% of revenue on top of floor</t>
  </si>
  <si>
    <t>UNCONFIRMED: derived (see A11).</t>
  </si>
  <si>
    <t>A13</t>
  </si>
  <si>
    <t>wc_days</t>
  </si>
  <si>
    <t>days of revenue (net working capital)</t>
  </si>
  <si>
    <t>S163;S134</t>
  </si>
  <si>
    <t>Low: Honasa 'Working Capital Days ... (13)' FY24 (S163 PDF p.39). High: Minimalist trade WC at acquisition = receivables Rs 91 Cr + inventory Rs 97 Cr - trade payables Rs 65 Cr = Rs 123 Cr = 87 days of FY25 revenue (S134 Note 43(D) PDF p.224; S209). Base 30 = trade WC net of other liabilities (Rs 95 Cr) ~20 days, rounded up for an FMCG offline push.</t>
  </si>
  <si>
    <t>A14</t>
  </si>
  <si>
    <t>discount_rate</t>
  </si>
  <si>
    <t>% per year</t>
  </si>
  <si>
    <t>base</t>
  </si>
  <si>
    <t>HUL 'Weighted Average Cost of Capital (WACC) post-tax (Discount rate) 10.1%' (FY26) and 11.3% (FY25), goodwill impairment test (S134 PDF p.149). High 13 derived. Failure risk is NOT added to the rate: it is carried by p (A16) to avoid double counting.</t>
  </si>
  <si>
    <t>A15</t>
  </si>
  <si>
    <t>category_growth</t>
  </si>
  <si>
    <t>% per year (revenue growth of the acquired brand and of the built brand after scale)</t>
  </si>
  <si>
    <t>S165;S134</t>
  </si>
  <si>
    <t>BPC 'projected to reach roughly $40 Billion by 2030 at a CAGR of about 12%' (S165 PDF p.42); active sub-categories 'Face Serum ... CAGR: 20%+', 'Moisturiser ... CAGR: 15%+', 'Sunscreen ... CAGR: 15%+' (S165 PDF p.17). Base 12 = the BPC-wide Redseer figure; actives sub-categories run faster (high 20). Low 9 = HUL's own Beauty &amp; Wellbeing 5-yr growth assumption 'Average Annual Growth rate for 5 years 9.0%' (S134 PDF p.149).</t>
  </si>
  <si>
    <t>A16</t>
  </si>
  <si>
    <t>p_success</t>
  </si>
  <si>
    <t>% probability an HUL build reaches Rs 347 Cr</t>
  </si>
  <si>
    <t>data/base_rates.csv</t>
  </si>
  <si>
    <t>Base = Laplace (0+1)/(7+2) = 11% on rate (c) 0/7 traditional-FMCG digital-first builds. 0/7 is a small sample, not proof of impossibility (Wilson 95% CI 0-35%). Low ~5% = 0/7 plus HUL's own record (Acne Squad, Find Your Happy Place withdrawn). High = rate (a) 6/21 = 29% all core builds. Rate (d) 2/4 = 50% D2C-native parents does NOT apply: those brands were built by founder-run, D2C-native orgs pre-IPO, which is the capability HUL is buying.</t>
  </si>
  <si>
    <t>A17</t>
  </si>
  <si>
    <t>steady_ebitda_margin</t>
  </si>
  <si>
    <t>% EBITDA margin the brand reaches 5 yrs after scale under HUL</t>
  </si>
  <si>
    <t>S134;S209</t>
  </si>
  <si>
    <t>Start point: Minimalist 'EBITDA remained positive at Rs 18 crore' on Rs 514.8 Cr = 3.5% FY25 (S209). Ceiling: HUL Beauty &amp; Wellbeing segment margin 30.2% FY26 (S134 PDF p.149). Base 20 = HUL synergies 'across media, manufacturing and procurement' (S134) but D2C A&amp;P stays high. Applied identically to the bought and the built brand.</t>
  </si>
  <si>
    <t>A18</t>
  </si>
  <si>
    <t>acquired_rev_y0</t>
  </si>
  <si>
    <t>Rs Cr (FY26 revenue of Minimalist)</t>
  </si>
  <si>
    <t>'From the date of acquisition, USPL has contributed Rs 652 crores of revenue' (S134 Note 43(I), PDF p.225) for 21 Apr 2025-31 Mar 2026 (345 days). Base = annualised 652 x 365/345 = Rs 690 Cr (+34% on FY25 Rs 514.8 Cr, S209). Low = as reported. NOTE: same note says pro-forma revenue 'would have been Rs 89 crores' - clearly an incremental or typo figure; not used.</t>
  </si>
  <si>
    <t>A19</t>
  </si>
  <si>
    <t>integration_cost</t>
  </si>
  <si>
    <t>Rs Cr one-off</t>
  </si>
  <si>
    <t>UNCONFIRMED: HUL has not disclosed integration costs for Minimalist. Derived (offline rollout, systems, people retention).</t>
  </si>
  <si>
    <t>A20</t>
  </si>
  <si>
    <t>remaining_stake_cost</t>
  </si>
  <si>
    <t>Rs Cr for the remaining 9.5%</t>
  </si>
  <si>
    <t>S134;S002</t>
  </si>
  <si>
    <t>Base: HUL recognised the forward rights on the 9.5% NCI at PV 'Rs 501 crores' (S134 Note 43(C), PDF p.224). Low: 9.5% at the completion price, 2,706.45 / 90.5 x 9.5 = Rs 284 Cr (S002). High 650: derived, if FY27 performance lifts the formula price.</t>
  </si>
  <si>
    <t>A21</t>
  </si>
  <si>
    <t>cash_acquired</t>
  </si>
  <si>
    <t>Rs Cr</t>
  </si>
  <si>
    <t>'Cash and cash equivalents acquired from USPL (41)'; 'Net cash paid 2,665' (S134 Note 43, PDF p.225). High adds 'Bank balances other than cash and cash equivalents 30'.</t>
  </si>
  <si>
    <t>A22</t>
  </si>
  <si>
    <t>transaction_costs</t>
  </si>
  <si>
    <t>'related transaction costs of Rs 17 crores' (S134 Note 43(H), PDF p.225).</t>
  </si>
  <si>
    <t>A23</t>
  </si>
  <si>
    <t>failed_attempt_years</t>
  </si>
  <si>
    <t>years a failed build runs before it is shut</t>
  </si>
  <si>
    <t>data/tab_b.csv</t>
  </si>
  <si>
    <t>Acne Squad: launched FY23, absent from ARs from FY24, store dead by 2025; Find Your Happy Place: live ~1 year (tab_b status_evidence). Used only in the refined cross-check (failed attempts cost less than a full ramp).</t>
  </si>
  <si>
    <t>A24</t>
  </si>
  <si>
    <t>terminal_growth</t>
  </si>
  <si>
    <t>% per year after Y10</t>
  </si>
  <si>
    <t>HUL impairment test: 'Terminal growth rate linearly declining for ten years from year 6 and at 5% thereafter' (S134 PDF p.149). Used to capitalise the Y10 revenue gap (share loss).</t>
  </si>
  <si>
    <t>A25</t>
  </si>
  <si>
    <t>target_revenue</t>
  </si>
  <si>
    <t>S007</t>
  </si>
  <si>
    <t>Minimalist FY24 'turnover of the Business' Rs 347 Cr (S007); Entrackr 'revenue from operations ... Rs 347 crore' (S208).</t>
  </si>
  <si>
    <t>Model constants (hard-coded in scripts/build_model.py)</t>
  </si>
  <si>
    <t>headline_price</t>
  </si>
  <si>
    <t>Headline price paid for 90.5% (cash at completion)</t>
  </si>
  <si>
    <t>S002 HUL completion letter</t>
  </si>
  <si>
    <t>m0</t>
  </si>
  <si>
    <t>Minimalist EBITDA margin at Y0 (FY25: ₹18 Cr / ₹514.8 Cr)</t>
  </si>
  <si>
    <t>psg1</t>
  </si>
  <si>
    <t>Built brand growth, 1st year after scale (Minimalist FY25)</t>
  </si>
  <si>
    <t>psg2</t>
  </si>
  <si>
    <t>Built brand growth, 2nd year after scale (Minimalist FY26 annualised)</t>
  </si>
  <si>
    <t>ramp</t>
  </si>
  <si>
    <t>Years for EBITDA margin to reach steady state</t>
  </si>
  <si>
    <t>Modelling choice</t>
  </si>
  <si>
    <t>Blue = input. Yellow = formula. % drivers are stored as fractions (60% = 0.60). Bull = every driver at its build-favourable end, Bear = the opposite; valuation inputs (discount rate, terminal growth, target, transaction costs, failed-attempt years) stay at base.</t>
  </si>
  <si>
    <t>Part 1: what would it cost HUL to build Minimalist? Live model (all inputs on Assumptions)</t>
  </si>
  <si>
    <t>₹ Cr, pre-tax, Y0 = FY26. Build revenue is conditional on success; P(success) enters via risk-adjusted cost. Mirrors scripts/build_model.py.</t>
  </si>
  <si>
    <t>Scenario: Base</t>
  </si>
  <si>
    <t>Years to scale T (rounded)</t>
  </si>
  <si>
    <t>Growth to scale g = (target / Y1 revenue)^(1/(T-1))</t>
  </si>
  <si>
    <t>Failed-attempt years (int)</t>
  </si>
  <si>
    <t>Year (Y0 = FY26)</t>
  </si>
  <si>
    <t>Revenue (build, if it succeeds)</t>
  </si>
  <si>
    <t>Gross margin %</t>
  </si>
  <si>
    <t>A&amp;P % of revenue</t>
  </si>
  <si>
    <t>Gross profit</t>
  </si>
  <si>
    <t>Marketing (A&amp;P)</t>
  </si>
  <si>
    <t>R&amp;D</t>
  </si>
  <si>
    <t>Org cost</t>
  </si>
  <si>
    <t>Distribution &amp; overheads (pre-scale rule)</t>
  </si>
  <si>
    <t>EBITDA (pre-scale rule)</t>
  </si>
  <si>
    <t>Distribution &amp; overheads (plug after scale)</t>
  </si>
  <si>
    <t>EBITDA</t>
  </si>
  <si>
    <t>Net working capital</t>
  </si>
  <si>
    <t>Working-capital investment</t>
  </si>
  <si>
    <t>Free cash flow</t>
  </si>
  <si>
    <t>Cash burn</t>
  </si>
  <si>
    <t>Cumulative cash</t>
  </si>
  <si>
    <t>Discount factor</t>
  </si>
  <si>
    <t>Bought brand revenue (Minimalist)</t>
  </si>
  <si>
    <t>Bought brand EBITDA</t>
  </si>
  <si>
    <t>EBITDA margin at scale year (start of ramp)</t>
  </si>
  <si>
    <t>PV of cash burn to scale (Y0..T)</t>
  </si>
  <si>
    <t>Peak cumulative burn</t>
  </si>
  <si>
    <t>P(success)</t>
  </si>
  <si>
    <t>Risk-adjusted build cost = PV burn / p</t>
  </si>
  <si>
    <t>Forgone profits (bought EBITDA minus build EBITDA after scale, PV Y1-Y10)</t>
  </si>
  <si>
    <t>Y10 revenue gap (bought minus build)</t>
  </si>
  <si>
    <t>Permanent share loss (Y10 gap capitalised, PV)</t>
  </si>
  <si>
    <t>Cost of delay = forgone profits + share loss</t>
  </si>
  <si>
    <t>Build-equivalent cost</t>
  </si>
  <si>
    <t>Other buy costs (last 9.5% + transaction + integration - cash acquired)</t>
  </si>
  <si>
    <t>Buy all-in (100%)</t>
  </si>
  <si>
    <t>BREAKEVEN headline price for 90.5%</t>
  </si>
  <si>
    <t>Headroom vs ₹2,706 Cr paid</t>
  </si>
  <si>
    <t>PV of a failed attempt (Y0..k)</t>
  </si>
  <si>
    <t>Refined build cost = PV burn + (1/p - 1) x PV failed attempt</t>
  </si>
  <si>
    <t>Refined breakeven</t>
  </si>
  <si>
    <t>Cross-check: bought-brand DCF (100%, EBITDA proxy)</t>
  </si>
  <si>
    <t>Scenario: Bull</t>
  </si>
  <si>
    <t>Scenario: Bear</t>
  </si>
  <si>
    <t>Sensitivity: breakeven headline price for 90.5% (₹ Cr)</t>
  </si>
  <si>
    <t>Key outputs (live, from Build_Model)</t>
  </si>
  <si>
    <t>Static outputs from scripts/build_model.py (not live)</t>
  </si>
  <si>
    <t>Tornado: breakeven with one driver at low / high</t>
  </si>
  <si>
    <t>Years from decision to ₹347 Cr</t>
  </si>
  <si>
    <t>driver</t>
  </si>
  <si>
    <t>at low</t>
  </si>
  <si>
    <t>at high</t>
  </si>
  <si>
    <t>swing</t>
  </si>
  <si>
    <t>PV of cash burn to scale</t>
  </si>
  <si>
    <t>Risk-adjusted build cost (PV burn ÷ p)</t>
  </si>
  <si>
    <t>Cost of delay</t>
  </si>
  <si>
    <t>Breakeven price for 90.5%</t>
  </si>
  <si>
    <t>Headroom vs price paid</t>
  </si>
  <si>
    <t>Price paid at completion (90.5%)</t>
  </si>
  <si>
    <t>Grid: P(success) (rows) x years from launch to ₹347 Cr (columns); other drivers at base. Red = breakeven above the price paid, i.e. buying was cheaper.</t>
  </si>
  <si>
    <t>P(success) \ years</t>
  </si>
  <si>
    <t>Calculation blocks for the grid (base drivers, years-to-scale overridden by the column header above)</t>
  </si>
  <si>
    <t>Grid block: years to scale = column B header</t>
  </si>
  <si>
    <t>Monte Carlo (10,000 triangular draws, seed 42)</t>
  </si>
  <si>
    <t>breakeven_P10</t>
  </si>
  <si>
    <t>breakeven_P50</t>
  </si>
  <si>
    <t>breakeven_P90</t>
  </si>
  <si>
    <t>risk_adjusted_build_P10</t>
  </si>
  <si>
    <t>cost_of_delay_P10</t>
  </si>
  <si>
    <t>risk_adjusted_build_P50</t>
  </si>
  <si>
    <t>cost_of_delay_P50</t>
  </si>
  <si>
    <t>risk_adjusted_build_P90</t>
  </si>
  <si>
    <t>cost_of_delay_P90</t>
  </si>
  <si>
    <t>share_breakeven_above_price</t>
  </si>
  <si>
    <t>n_draws</t>
  </si>
  <si>
    <t>Grid block: years to scale = column C header</t>
  </si>
  <si>
    <t>Grid block: years to scale = column D header</t>
  </si>
  <si>
    <t>Grid block: years to scale = column E header</t>
  </si>
  <si>
    <t>Grid block: years to scale = column F header</t>
  </si>
  <si>
    <t>Grid block: years to scale = column G header</t>
  </si>
  <si>
    <t>Grid block: years to scale = column H header</t>
  </si>
  <si>
    <t>source_id</t>
  </si>
  <si>
    <t>url</t>
  </si>
  <si>
    <t>title</t>
  </si>
  <si>
    <t>publisher</t>
  </si>
  <si>
    <t>tier</t>
  </si>
  <si>
    <t>date_published</t>
  </si>
  <si>
    <t>S001</t>
  </si>
  <si>
    <t>S001_hul_bse_filing_52af87d5</t>
  </si>
  <si>
    <t>BSE / Hindustan Unilever Ltd</t>
  </si>
  <si>
    <t>T1</t>
  </si>
  <si>
    <t>pdf: sources/pdf/S001_hul_bse_filing_52af87d5.pdf. Reg 30 annexure for Nutritionalab (Wellbeing Nutrition) + joint press release covering OZiva</t>
  </si>
  <si>
    <t>S002</t>
  </si>
  <si>
    <t>https://nsearchives.nseindia.com/corporate/HINDUNILVR_21042025201301_MinimalistSEIntimation21042025signed.pdf</t>
  </si>
  <si>
    <t>HUL intimation: completion of acquisition of Uprising Science (Minimalist)</t>
  </si>
  <si>
    <t>NSE / Hindustan Unilever Ltd</t>
  </si>
  <si>
    <t>2025-04-21</t>
  </si>
  <si>
    <t>pdf: sources/pdf/S002_hul_minimalist_completion.pdf</t>
  </si>
  <si>
    <t>S003</t>
  </si>
  <si>
    <t>https://www.hul.co.in/files/update-on-acquisition-of-shares-of-zywie-ventures-private-limited.pdf</t>
  </si>
  <si>
    <t>HUL: Update on acquisition of shares of Zywie Ventures Pvt Ltd (OZiva)</t>
  </si>
  <si>
    <t>pdf: sources/pdf/S003_hul_oziva_update.pdf</t>
  </si>
  <si>
    <t>S004</t>
  </si>
  <si>
    <t>https://bsmedia.business-standard.com/_media/bs/data/announcements/bse/18122025/44cb5b88-2099-437b-952c-0366aa7fe7d0.pdf</t>
  </si>
  <si>
    <t>BSE announcement 2025-12-18 (44cb5b88)</t>
  </si>
  <si>
    <t>BSE announcement via Business Standard media mirror</t>
  </si>
  <si>
    <t>pdf: sources/pdf/S004_bse_announcement_44cb5b88.pdf. NOT RELEVANT: HUL stake in renewable-energy SPV (found while searching); kept for audit trail</t>
  </si>
  <si>
    <t>S005</t>
  </si>
  <si>
    <t>https://bseindia.com/xml-data/corpfiling/AttachHis/1c2d765b-c83b-4e87-b1cf-15f4bea39542.pdf</t>
  </si>
  <si>
    <t>S005_hul_bse_filing_1c2d765b</t>
  </si>
  <si>
    <t>pdf: sources/pdf/S005_hul_bse_filing_1c2d765b.pdf</t>
  </si>
  <si>
    <t>S006</t>
  </si>
  <si>
    <t>https://www.unilever.com/news/press-and-media/press-releases/2025/hul-to-acquire-premium-beauty-brand-minimalist/</t>
  </si>
  <si>
    <t>HUL to acquire premium beauty brand Minimalist (press release)</t>
  </si>
  <si>
    <t>Unilever plc / HUL</t>
  </si>
  <si>
    <t>2025-01-23</t>
  </si>
  <si>
    <t>html</t>
  </si>
  <si>
    <t>HUL Reg 30 disclosure: acquisition of Uprising Science (Minimalist)</t>
  </si>
  <si>
    <t>2025-01-22</t>
  </si>
  <si>
    <t>pdf: sources/pdf/S007_hul_minimalist_reg30.pdf</t>
  </si>
  <si>
    <t>S008</t>
  </si>
  <si>
    <t>HUL Reg 30 disclosure: proposed acquisition of Zywie Ventures (OZiva)</t>
  </si>
  <si>
    <t>2022-12-08</t>
  </si>
  <si>
    <t>pdf: sources/pdf/S008_hul_oziva_reg30.pdf</t>
  </si>
  <si>
    <t>S009</t>
  </si>
  <si>
    <t>https://www.bseindia.com/xml-data/corpfiling/AttachHis/3e15d4b2-c14b-4013-a49f-d166f1078be7.pdf</t>
  </si>
  <si>
    <t>HUL Reg 30: proposed acquisition of balance 49% of Zywie Ventures (OZiva)</t>
  </si>
  <si>
    <t>2026-02-12</t>
  </si>
  <si>
    <t>pdf: sources/pdf/S009_hul_oziva_balance49.pdf</t>
  </si>
  <si>
    <t>S010</t>
  </si>
  <si>
    <t>https://www.bseindia.com/xml-data/corpfiling/AttachHis/1cafc68f-8547-4920-9727-ce8cf50cb540.pdf</t>
  </si>
  <si>
    <t>HUL Reg 30: Diversification/Disinvestment 2026-02-12</t>
  </si>
  <si>
    <t>pdf: sources/pdf/S010_hul_disinvest_20260212.pdf. DUPLICATE of S009 (same PDF attached under a second BSE headline)</t>
  </si>
  <si>
    <t>S011</t>
  </si>
  <si>
    <t>https://www.bseindia.com/xml-data/corpfiling/AttachHis/85664ebb-3e33-4717-b011-309cb8c3bb8c.pdf</t>
  </si>
  <si>
    <t>HUL Reg 30: Diversification/Disinvestment 2026-03-04</t>
  </si>
  <si>
    <t>2026-03-04</t>
  </si>
  <si>
    <t>pdf: sources/pdf/S011_hul_disinvest_20260304.pdf</t>
  </si>
  <si>
    <t>S012</t>
  </si>
  <si>
    <t>https://www.bseindia.com/xml-data/corpfiling/AttachHis/d954777a-1d5b-4f96-82fb-710b2fdaf7bf.pdf</t>
  </si>
  <si>
    <t>HUL Reg 30: completion of acquisition of 19.8% of Nutritionalab (Wellbeing Nutrition)</t>
  </si>
  <si>
    <t>2023-01-04</t>
  </si>
  <si>
    <t>pdf: sources/pdf/S012_hul_wellbeing_completion.pdf</t>
  </si>
  <si>
    <t>S013</t>
  </si>
  <si>
    <t>ITC Reg 30: binding term sheet to acquire Sproutlife Foods (Yoga Bar)</t>
  </si>
  <si>
    <t>BSE / ITC Ltd</t>
  </si>
  <si>
    <t>2023-01-17</t>
  </si>
  <si>
    <t>pdf: sources/pdf/S013_itc_sproutlife_termsheet.pdf</t>
  </si>
  <si>
    <t>S014</t>
  </si>
  <si>
    <t>https://www.bseindia.com/xml-data/corpfiling/AttachHis/b73174dc-3be1-4791-bb05-bce545ec7f84.pdf</t>
  </si>
  <si>
    <t>ITC Reg 30: transaction documents for 100% of Sproutlife Foods</t>
  </si>
  <si>
    <t>2023-04-19</t>
  </si>
  <si>
    <t>pdf: sources/pdf/S014_itc_sproutlife_docs.pdf</t>
  </si>
  <si>
    <t>S015</t>
  </si>
  <si>
    <t>https://www.bseindia.com/xml-data/corpfiling/AttachHis/5f8b4f58-8459-4a20-968f-0ed992923469.pdf</t>
  </si>
  <si>
    <t>ITC Reg 30: acquisition of shares of Sproutlife Foods (tranche 1)</t>
  </si>
  <si>
    <t>2023-05-05</t>
  </si>
  <si>
    <t>pdf: sources/pdf/S015_itc_sproutlife_t1.pdf</t>
  </si>
  <si>
    <t>S016</t>
  </si>
  <si>
    <t>https://www.bseindia.com/xml-data/corpfiling/AttachHis/6f9ac15e-3ac4-47a5-bc1b-f8043caf0b67.pdf</t>
  </si>
  <si>
    <t>ITC Reg 30: acquisition of shares of Sproutlife Foods (Mar 2024)</t>
  </si>
  <si>
    <t>2024-03-11</t>
  </si>
  <si>
    <t>pdf: sources/pdf/S016_itc_sproutlife_202403.pdf</t>
  </si>
  <si>
    <t>S017</t>
  </si>
  <si>
    <t>https://www.bseindia.com/xml-data/corpfiling/AttachHis/da931624-7fe0-42e8-978a-173597ebe5be.pdf</t>
  </si>
  <si>
    <t>ITC Reg 30: acquisition of shares of Sproutlife Foods (Sep 2024)</t>
  </si>
  <si>
    <t>2024-09-25</t>
  </si>
  <si>
    <t>pdf: sources/pdf/S017_itc_sproutlife_202409.pdf</t>
  </si>
  <si>
    <t>S018</t>
  </si>
  <si>
    <t>https://www.bseindia.com/xml-data/corpfiling/AttachHis/d47e38b6-cb10-4947-83ea-738c166c12d3.pdf</t>
  </si>
  <si>
    <t>ITC Reg 30: agreement to invest in Mother Sparsh Baby Care</t>
  </si>
  <si>
    <t>2023-06-19</t>
  </si>
  <si>
    <t>pdf: sources/pdf/S018_itc_mothersparsh_agreement.pdf</t>
  </si>
  <si>
    <t>S019</t>
  </si>
  <si>
    <t>https://www.bseindia.com/xml-data/corpfiling/AttachHis/e9d9270c-e610-444d-9ab6-4a4b60a02a88.pdf</t>
  </si>
  <si>
    <t>ITC Reg 30: acquisition of CCPS of Mother Sparsh</t>
  </si>
  <si>
    <t>2023-06-27</t>
  </si>
  <si>
    <t>pdf: sources/pdf/S019_itc_mothersparsh_completion.pdf</t>
  </si>
  <si>
    <t>S020</t>
  </si>
  <si>
    <t>ITC Reg 30: agreements for acquisition of shares (Sresta 100%, Mother Sparsh)</t>
  </si>
  <si>
    <t>2025-04-17</t>
  </si>
  <si>
    <t>pdf: sources/pdf/S020_itc_sresta_mothersparsh_agreements.pdf</t>
  </si>
  <si>
    <t>S021</t>
  </si>
  <si>
    <t>https://www.bseindia.com/xml-data/corpfiling/AttachHis/3e6e2dd7-a39b-4ef1-975e-8919ac8ce84e.pdf</t>
  </si>
  <si>
    <t>ITC Reg 30: acquisition of shares of Mother Sparsh (2025)</t>
  </si>
  <si>
    <t>2025-05-21</t>
  </si>
  <si>
    <t>pdf: sources/pdf/S021_itc_mothersparsh_2025.pdf</t>
  </si>
  <si>
    <t>S022</t>
  </si>
  <si>
    <t>https://www.bseindia.com/xml-data/corpfiling/AttachHis/773b5f56-46ea-48b7-8007-9613b6d1d546.pdf</t>
  </si>
  <si>
    <t>ITC Reg 30: acquisition of 100% of Sresta Natural Bioproducts (24 Mantra)</t>
  </si>
  <si>
    <t>2025-06-13</t>
  </si>
  <si>
    <t>pdf: sources/pdf/S022_itc_sresta_completion.pdf</t>
  </si>
  <si>
    <t>S023</t>
  </si>
  <si>
    <t>ITC Reg 30: acquisition of Ample Foods (Prasuma) and Meat and Spice</t>
  </si>
  <si>
    <t>2025-02-06</t>
  </si>
  <si>
    <t>pdf: sources/pdf/S023_itc_prasuma_agreement.pdf</t>
  </si>
  <si>
    <t>S024</t>
  </si>
  <si>
    <t>https://www.bseindia.com/xml-data/corpfiling/AttachHis/94470493-66cf-40a2-868c-9f0982d84c6b.pdf</t>
  </si>
  <si>
    <t>ITC Reg 30: acquisition of shares of Ample Foods (Prasuma)</t>
  </si>
  <si>
    <t>2025-04-04</t>
  </si>
  <si>
    <t>pdf: sources/pdf/S024_itc_prasuma_completion.pdf</t>
  </si>
  <si>
    <t>S025</t>
  </si>
  <si>
    <t>https://www.bseindia.com/xml-data/corpfiling/AttachHis/827260a2-1bf5-444a-8449-db5cfb253de7.pdf</t>
  </si>
  <si>
    <t>ITC Reg 30: agreement to invest in Mother Sparsh Baby Care (2021)</t>
  </si>
  <si>
    <t>2021-11-26</t>
  </si>
  <si>
    <t>pdf: sources/pdf/S025_itc_mothersparsh_2021.pdf</t>
  </si>
  <si>
    <t>S026</t>
  </si>
  <si>
    <t>https://www.bseindia.com/xml-data/corpfiling/AttachHis/4642ea49-b913-4628-a7ae-ed3476af3705.pdf</t>
  </si>
  <si>
    <t>ITC Reg 30: Mother Sparsh first tranche (Dec 2021)</t>
  </si>
  <si>
    <t>2021-12-18</t>
  </si>
  <si>
    <t>pdf: sources/pdf/S026_itc_mothersparsh_t1_2021.pdf</t>
  </si>
  <si>
    <t>S027</t>
  </si>
  <si>
    <t>https://www.bseindia.com/xml-data/corpfiling/AttachHis/cd4dccf2-a564-4d17-8067-017c9c4e008a.pdf</t>
  </si>
  <si>
    <t>ITC Reg 30: Mother Sparsh second tranche (Mar 2022)</t>
  </si>
  <si>
    <t>2022-03-15</t>
  </si>
  <si>
    <t>pdf: sources/pdf/S027_itc_mothersparsh_t2_2022.pdf</t>
  </si>
  <si>
    <t>S028</t>
  </si>
  <si>
    <t>https://www.bseindia.com/xml-data/corpfiling/AttachHis/31601664-bf84-4ec3-9939-dda08c22967e.pdf</t>
  </si>
  <si>
    <t>ITC Reg 30: agreement for further Mother Sparsh shares (Oct 2022)</t>
  </si>
  <si>
    <t>2022-10-18</t>
  </si>
  <si>
    <t>pdf: sources/pdf/S028_itc_mothersparsh_202210.pdf</t>
  </si>
  <si>
    <t>S029</t>
  </si>
  <si>
    <t>https://www.bseindia.com/xml-data/corpfiling/AttachHis/d5091192-4596-47de-8164-094ed550af14.pdf</t>
  </si>
  <si>
    <t>ITC Reg 30: acquisition of Mother Sparsh CCPS (Oct 2022, to 22%)</t>
  </si>
  <si>
    <t>2022-10-28</t>
  </si>
  <si>
    <t>pdf: sources/pdf/S029_itc_mothersparsh_202210_completion.pdf</t>
  </si>
  <si>
    <t>S030</t>
  </si>
  <si>
    <t>https://www.bseindia.com/xml-data/corpfiling/AttachHis/04b2e2f8-da21-4b59-bd7e-cf21c57328e1.pdf</t>
  </si>
  <si>
    <t>ITC Reg 30: Sproutlife becomes subsidiary (board control)</t>
  </si>
  <si>
    <t>2026-04-01</t>
  </si>
  <si>
    <t>pdf: sources/pdf/S030_itc_sproutlife_subsidiary.pdf</t>
  </si>
  <si>
    <t>S031</t>
  </si>
  <si>
    <t>https://www.bseindia.com/xml-data/corpfiling/AttachHis/8eac2987-9924-4131-b4da-af66c3b06041.pdf</t>
  </si>
  <si>
    <t>ITC Reg 30: Sproutlife becomes wholly owned subsidiary</t>
  </si>
  <si>
    <t>2026-09-28</t>
  </si>
  <si>
    <t>pdf: sources/pdf/S031_itc_sproutlife_100.pdf</t>
  </si>
  <si>
    <t>S032</t>
  </si>
  <si>
    <t>https://www.bseindia.com/xml-data/corpfiling/AttachHis/d36b16a3-f2c3-42c0-802d-7ca5dc491d77.pdf</t>
  </si>
  <si>
    <t>ITC Reg 30: Mother Sparsh second tranche (49.32%)</t>
  </si>
  <si>
    <t>2026-05-19</t>
  </si>
  <si>
    <t>pdf: sources/pdf/S032_itc_mothersparsh_4932.pdf</t>
  </si>
  <si>
    <t>S033</t>
  </si>
  <si>
    <t>https://www.bseindia.com/xml-data/corpfiling/AttachHis/aec2824c-94e6-44da-a190-aac40e8a14ee.pdf</t>
  </si>
  <si>
    <t>ITC: Amalgamation of Sresta Natural Bioproducts and Wimco with the Company</t>
  </si>
  <si>
    <t>2026-05-07</t>
  </si>
  <si>
    <t>pdf: sources/pdf/S033_itc_sresta_amalgamation.pdf</t>
  </si>
  <si>
    <t>S034</t>
  </si>
  <si>
    <t>TCPL Reg 30: acquisition of Kottaram Agro Foods (Soulfull)</t>
  </si>
  <si>
    <t>BSE / Tata Consumer Products Ltd</t>
  </si>
  <si>
    <t>2021-02-02</t>
  </si>
  <si>
    <t>pdf: sources/pdf/S034_tcpl_soulfull_reg30.pdf</t>
  </si>
  <si>
    <t>S035</t>
  </si>
  <si>
    <t>https://www.bseindia.com/xml-data/corpfiling/AttachHis/a46f15bb-04f0-48e8-8cd0-ed528b8fc44a.pdf</t>
  </si>
  <si>
    <t>TCPL: update on acquisition of Kottaram Agro Foods (Soulfull)</t>
  </si>
  <si>
    <t>2021-02-20</t>
  </si>
  <si>
    <t>pdf: sources/pdf/S035_tcpl_soulfull_completion.pdf</t>
  </si>
  <si>
    <t>S036</t>
  </si>
  <si>
    <t>TCPL Reg 30: acquisition of Capital Foods</t>
  </si>
  <si>
    <t>2024-01-12</t>
  </si>
  <si>
    <t>pdf: sources/pdf/S036_tcpl_capitalfoods_reg30.pdf</t>
  </si>
  <si>
    <t>S037</t>
  </si>
  <si>
    <t>https://www.bseindia.com/xml-data/corpfiling/AttachHis/fd54f01d-a590-4013-a2b0-8c9817dc8f1a.pdf</t>
  </si>
  <si>
    <t>TCPL: update on acquisition of Capital Foods (75%)</t>
  </si>
  <si>
    <t>2024-02-01</t>
  </si>
  <si>
    <t>pdf: sources/pdf/S037_tcpl_capitalfoods_completion.pdf</t>
  </si>
  <si>
    <t>S038</t>
  </si>
  <si>
    <t>https://www.bseindia.com/xml-data/corpfiling/AttachHis/6bcd6b70-d44b-41f3-84d6-c6604909b960.pdf</t>
  </si>
  <si>
    <t>TCPL: update on acquisition of Capital Foods (balance 25%)</t>
  </si>
  <si>
    <t>2026-09-01</t>
  </si>
  <si>
    <t>pdf: sources/pdf/S038_tcpl_capitalfoods_balance.pdf</t>
  </si>
  <si>
    <t>S039</t>
  </si>
  <si>
    <t>TCPL Reg 30: acquisition of Organic India</t>
  </si>
  <si>
    <t>pdf: sources/pdf/S039_tcpl_organicindia_reg30.pdf</t>
  </si>
  <si>
    <t>S040</t>
  </si>
  <si>
    <t>https://www.bseindia.com/xml-data/corpfiling/AttachHis/567a6ce0-53be-41ef-a118-5535f8fecd79.pdf</t>
  </si>
  <si>
    <t>TCPL: update on acquisition of Organic India</t>
  </si>
  <si>
    <t>2024-04-16</t>
  </si>
  <si>
    <t>pdf: sources/pdf/S040_tcpl_organicindia_completion.pdf</t>
  </si>
  <si>
    <t>S041</t>
  </si>
  <si>
    <t>https://www.bseindia.com/xml-data/corpfiling/AttachHis/423a77e2-b348-41e3-91e5-1324492479b6.pdf</t>
  </si>
  <si>
    <t>TCPL: update on acquisition of Organic India (Dec 2024)</t>
  </si>
  <si>
    <t>2024-12-13</t>
  </si>
  <si>
    <t>pdf: sources/pdf/S041_tcpl_organicindia_202412.pdf</t>
  </si>
  <si>
    <t>S042</t>
  </si>
  <si>
    <t>https://www.bseindia.com/xml-data/corpfiling/AttachHis/734e383e-da03-4b94-ad73-36b9f9c10cc8.pdf</t>
  </si>
  <si>
    <t>TCPL: Scheme of amalgamation of NourishCo, Tata Smartfoodz and Tata Consumer Soulfull effective</t>
  </si>
  <si>
    <t>2024-09-01</t>
  </si>
  <si>
    <t>pdf: sources/pdf/S042_tcpl_soulfull_amalgamation.pdf</t>
  </si>
  <si>
    <t>S043</t>
  </si>
  <si>
    <t>https://bwretailworld.com/fmcg/tata-consumer-products-raises-capital-foods-stake-to-80</t>
  </si>
  <si>
    <t>Tata Consumer Deepens Capital Foods Bet, Raises Stake To 80%</t>
  </si>
  <si>
    <t>BW Retail World</t>
  </si>
  <si>
    <t>T3</t>
  </si>
  <si>
    <t>S044</t>
  </si>
  <si>
    <t>https://tataconsumer.com/integrated-annual-report/explore-new-opportunities.html</t>
  </si>
  <si>
    <t>Tata Consumer integrated annual report: Explore new opportunities</t>
  </si>
  <si>
    <t>S045</t>
  </si>
  <si>
    <t>Marico Reg 30: acquisition of balance stake in Zed Lifestyle (Beardo)</t>
  </si>
  <si>
    <t>BSE / Marico Ltd</t>
  </si>
  <si>
    <t>2020-06-30</t>
  </si>
  <si>
    <t>pdf: sources/pdf/S045_marico_beardo_2020.pdf</t>
  </si>
  <si>
    <t>S046</t>
  </si>
  <si>
    <t>Marico Reg 30: investment in Apcos Naturals (Just Herbs)</t>
  </si>
  <si>
    <t>2021-07-14</t>
  </si>
  <si>
    <t>pdf: sources/pdf/S046_marico_justherbs_2021.pdf</t>
  </si>
  <si>
    <t>S047</t>
  </si>
  <si>
    <t>https://www.bseindia.com/xml-data/corpfiling/AttachHis/c8bac14c-bf1e-40ff-b341-f9189b080cd5.pdf</t>
  </si>
  <si>
    <t>Marico Reg 30: Just Herbs update (Jul 2022)</t>
  </si>
  <si>
    <t>2022-07-04</t>
  </si>
  <si>
    <t>pdf: sources/pdf/S047_marico_justherbs_202207.pdf</t>
  </si>
  <si>
    <t>S048</t>
  </si>
  <si>
    <t>https://www.bseindia.com/xml-data/corpfiling/AttachHis/2554f0eb-32ae-4cf6-b15e-ade482dfd325.pdf</t>
  </si>
  <si>
    <t>Marico Reg 30: Just Herbs update (Nov 2022)</t>
  </si>
  <si>
    <t>2022-11-12</t>
  </si>
  <si>
    <t>pdf: sources/pdf/S048_marico_justherbs_202211.pdf</t>
  </si>
  <si>
    <t>S049</t>
  </si>
  <si>
    <t>https://www.bseindia.com/xml-data/corpfiling/AttachHis/baa7cd35-b0c5-4f30-98c4-8cdadd609bfa.pdf</t>
  </si>
  <si>
    <t>Marico Reg 30: agreement to acquire balance 40% of Apcos Naturals</t>
  </si>
  <si>
    <t>2024-09-06</t>
  </si>
  <si>
    <t>pdf: sources/pdf/S049_marico_justherbs_202409.pdf</t>
  </si>
  <si>
    <t>S050</t>
  </si>
  <si>
    <t>https://www.bseindia.com/xml-data/corpfiling/AttachHis/2dbf8f6b-cc7a-472b-8998-a772eaf85dfc.pdf</t>
  </si>
  <si>
    <t>Marico Reg 30: Just Herbs balance 40% completed</t>
  </si>
  <si>
    <t>2024-09-17</t>
  </si>
  <si>
    <t>pdf: sources/pdf/S050_marico_justherbs_100.pdf</t>
  </si>
  <si>
    <t>S051</t>
  </si>
  <si>
    <t>Marico Reg 30: investment in HW Wellness (True Elements)</t>
  </si>
  <si>
    <t>2022-05-23</t>
  </si>
  <si>
    <t>pdf: sources/pdf/S051_marico_trueelements_2022.pdf</t>
  </si>
  <si>
    <t>S052</t>
  </si>
  <si>
    <t>https://www.bseindia.com/xml-data/corpfiling/AttachHis/a04fbe19-bb73-4ccc-83df-c1992aab64ad.pdf</t>
  </si>
  <si>
    <t>Marico Reg 30: agreement to acquire balance 46.02% of HW Wellness</t>
  </si>
  <si>
    <t>2025-09-11</t>
  </si>
  <si>
    <t>pdf: sources/pdf/S052_marico_trueelements_202509.pdf</t>
  </si>
  <si>
    <t>S053</t>
  </si>
  <si>
    <t>https://www.bseindia.com/xml-data/corpfiling/AttachHis/a081acb0-7eaf-4037-b471-5921ae07d2d9.pdf</t>
  </si>
  <si>
    <t>Marico Reg 30: True Elements balance stake completed</t>
  </si>
  <si>
    <t>2025-10-17</t>
  </si>
  <si>
    <t>pdf: sources/pdf/S053_marico_trueelements_100.pdf</t>
  </si>
  <si>
    <t>S054</t>
  </si>
  <si>
    <t>Marico Reg 30: agreement to acquire up to 58% of Satiya Nutraceuticals (Plix)</t>
  </si>
  <si>
    <t>2023-07-26</t>
  </si>
  <si>
    <t>pdf: sources/pdf/S054_marico_plix_2023.pdf</t>
  </si>
  <si>
    <t>S055</t>
  </si>
  <si>
    <t>https://www.bseindia.com/xml-data/corpfiling/AttachHis/0d48ca42-672c-4f3e-8f93-15796bbabc48.pdf</t>
  </si>
  <si>
    <t>Marico Reg 30: Plix first tranche completed</t>
  </si>
  <si>
    <t>2023-11-30</t>
  </si>
  <si>
    <t>pdf: sources/pdf/S055_marico_plix_202311.pdf</t>
  </si>
  <si>
    <t>S056</t>
  </si>
  <si>
    <t>https://www.bseindia.com/xml-data/corpfiling/AttachHis/fcae2276-5e43-4f45-a442-d3f227b724d1.pdf</t>
  </si>
  <si>
    <t>Marico Reg 30: Plix update (May 2025)</t>
  </si>
  <si>
    <t>2025-05-31</t>
  </si>
  <si>
    <t>pdf: sources/pdf/S056_marico_plix_202505.pdf</t>
  </si>
  <si>
    <t>S057</t>
  </si>
  <si>
    <t>https://www.bseindia.com/xml-data/corpfiling/AttachHis/89c945d9-8c7b-426e-9503-c1c0430cc424.pdf</t>
  </si>
  <si>
    <t>Marico Reg 30: Plix update (Dec 2025)</t>
  </si>
  <si>
    <t>2025-12-17</t>
  </si>
  <si>
    <t>pdf: sources/pdf/S057_marico_plix_202512.pdf</t>
  </si>
  <si>
    <t>S058</t>
  </si>
  <si>
    <t>https://www.bseindia.com/xml-data/corpfiling/AttachHis/887be07a-90f3-4770-8559-562c9b95676e.pdf</t>
  </si>
  <si>
    <t>Marico Reg 30: Plix update (Oct 2026)</t>
  </si>
  <si>
    <t>2026-10-05</t>
  </si>
  <si>
    <t>pdf: sources/pdf/S058_marico_plix_202610.pdf</t>
  </si>
  <si>
    <t>S059</t>
  </si>
  <si>
    <t>Marico Reg 30: agreement to acquire 60% of Cosmix Wellness</t>
  </si>
  <si>
    <t>2026-02-04</t>
  </si>
  <si>
    <t>pdf: sources/pdf/S059_marico_cosmix_2026.pdf</t>
  </si>
  <si>
    <t>S060</t>
  </si>
  <si>
    <t>https://www.bseindia.com/xml-data/corpfiling/AttachHis/b4da9e58-cd98-4627-aa27-447fb75b5a58.pdf</t>
  </si>
  <si>
    <t>Marico Reg 30: Cosmix first tranche completed</t>
  </si>
  <si>
    <t>2026-02-05</t>
  </si>
  <si>
    <t>pdf: sources/pdf/S060_marico_cosmix_completion.pdf</t>
  </si>
  <si>
    <t>S061</t>
  </si>
  <si>
    <t>Marico Reg 30: agreement to acquire 93.27% of Zea Maize (4700BC)</t>
  </si>
  <si>
    <t>2026-01-26</t>
  </si>
  <si>
    <t>pdf: sources/pdf/S061_marico_4700bc_2026.pdf</t>
  </si>
  <si>
    <t>S062</t>
  </si>
  <si>
    <t>https://www.bseindia.com/xml-data/corpfiling/AttachHis/8999b2a1-88be-4a37-a71c-c21ec50cac18.pdf</t>
  </si>
  <si>
    <t>Marico Reg 30: Zea Maize (4700BC) completion</t>
  </si>
  <si>
    <t>2026-01-29</t>
  </si>
  <si>
    <t>pdf: sources/pdf/S062_marico_4700bc_completion.pdf</t>
  </si>
  <si>
    <t>S063</t>
  </si>
  <si>
    <t>https://www.storyboard18.com/brand-marketing/marico-integrates-rs-214-crore-beardo-business-into-parent-88319.htm</t>
  </si>
  <si>
    <t>Marico integrates Rs 214-crore Beardo business into parent</t>
  </si>
  <si>
    <t>Storyboard18</t>
  </si>
  <si>
    <t>S064</t>
  </si>
  <si>
    <t>https://www.bseindia.com/xml-data/corpfiling/AttachHis/6d4d60c0-4a9c-4431-a7f9-3667a8836d03.pdf</t>
  </si>
  <si>
    <t>Marico Reg 30 intimation 2026-01-27 (Zed Lifestyle/Beardo integration)</t>
  </si>
  <si>
    <t>2026-01-27</t>
  </si>
  <si>
    <t>pdf: sources/pdf/S064_marico_beardo_integration.pdf</t>
  </si>
  <si>
    <t>S065</t>
  </si>
  <si>
    <t>Dabur Reg 30: proposed acquisition of 51% of Badshah Masala</t>
  </si>
  <si>
    <t>BSE / Dabur India Ltd</t>
  </si>
  <si>
    <t>2022-10-26</t>
  </si>
  <si>
    <t>pdf: sources/pdf/S065_dabur_badshah_2022.pdf</t>
  </si>
  <si>
    <t>S066</t>
  </si>
  <si>
    <t>https://www.bseindia.com/xml-data/corpfiling/AttachHis/76ef4351-9f81-4266-8677-4b4f3d375f5f.pdf</t>
  </si>
  <si>
    <t>Dabur Reg 30: completion of 51% of Badshah Masala</t>
  </si>
  <si>
    <t>2023-01-02</t>
  </si>
  <si>
    <t>pdf: sources/pdf/S066_dabur_badshah_completion.pdf</t>
  </si>
  <si>
    <t>S067</t>
  </si>
  <si>
    <t>Dabur Reg 30: implementation agreement with Sesa Care</t>
  </si>
  <si>
    <t>2024-10-30</t>
  </si>
  <si>
    <t>pdf: sources/pdf/S067_dabur_sesa_2024.pdf</t>
  </si>
  <si>
    <t>S068</t>
  </si>
  <si>
    <t>GCPL Reg 30: acquisition of FMCG business of Raymond Consumer Care</t>
  </si>
  <si>
    <t>BSE / Godrej Consumer Products Ltd</t>
  </si>
  <si>
    <t>2023-04-27</t>
  </si>
  <si>
    <t>pdf: sources/pdf/S068_gcpl_raymond_2023.pdf</t>
  </si>
  <si>
    <t>S069</t>
  </si>
  <si>
    <t>https://www.bseindia.com/xml-data/corpfiling/AttachHis/7a1670e1-56f8-40f2-9abc-d3e4dc0d7af1.pdf</t>
  </si>
  <si>
    <t>GCPL Reg 30: completion of Raymond Consumer Care FMCG acquisition</t>
  </si>
  <si>
    <t>2023-05-08</t>
  </si>
  <si>
    <t>pdf: sources/pdf/S069_gcpl_raymond_completion.pdf</t>
  </si>
  <si>
    <t>S070</t>
  </si>
  <si>
    <t>https://www.bseindia.com/xml-data/corpfiling/AttachHis/76411a7d-0b48-4946-ab11-9d6a668ffbc6.pdf</t>
  </si>
  <si>
    <t>GCPL Reg 30 intimation 2025-09-19</t>
  </si>
  <si>
    <t>2025-09-19</t>
  </si>
  <si>
    <t>pdf: sources/pdf/S070_gcpl_20250919.pdf. NOT RELEVANT to Tab A: equity infusion into GCPL's Mauritius holding co</t>
  </si>
  <si>
    <t>S071</t>
  </si>
  <si>
    <t>GCPL Reg 30 intimation 2025-10-31</t>
  </si>
  <si>
    <t>2025-10-31</t>
  </si>
  <si>
    <t>pdf: sources/pdf/S071_gcpl_20251031.pdf</t>
  </si>
  <si>
    <t>S072</t>
  </si>
  <si>
    <t>https://www.bseindia.com/xml-data/corpfiling/AttachHis/3ebf3b38-c013-4dba-a534-5d99fcf99841.pdf</t>
  </si>
  <si>
    <t>GCPL: completion of acquisition of FMCG business of Triology Solutions</t>
  </si>
  <si>
    <t>2025-11-10</t>
  </si>
  <si>
    <t>pdf: sources/pdf/S072_gcpl_triology_completion.pdf</t>
  </si>
  <si>
    <t>S073</t>
  </si>
  <si>
    <t>GCPL Reg 30 update 2026-07-22</t>
  </si>
  <si>
    <t>2026-07-22</t>
  </si>
  <si>
    <t>pdf: sources/pdf/S073_gcpl_20260722.pdf. NOT RELEVANT to Tab A: primary infusion into Godrej Pet Care (own subsidiary). TAB B LEAD: GCPL-built pet care; FY26 revenue Rs 222.1 lakh</t>
  </si>
  <si>
    <t>S074</t>
  </si>
  <si>
    <t>https://www.bseindia.com/xml-data/corpfiling/AttachHis/9e4fa0ca-46f8-423c-9994-928347978912.pdf</t>
  </si>
  <si>
    <t>Dabur: Board approves scheme of amalgamation of Sesa Care</t>
  </si>
  <si>
    <t>2025-05-26</t>
  </si>
  <si>
    <t>pdf: sources/pdf/S074_dabur_sesa_scheme.pdf</t>
  </si>
  <si>
    <t>S075</t>
  </si>
  <si>
    <t>https://www.bseindia.com/xml-data/corpfiling/AttachHis/48e68f82-81f8-4830-8909-261103c45d60.pdf</t>
  </si>
  <si>
    <t>Dabur: Sesa Care amalgamation NCLT sanction / effective update</t>
  </si>
  <si>
    <t>2026-09-26</t>
  </si>
  <si>
    <t>pdf: sources/pdf/S075_dabur_sesa_effective.pdf</t>
  </si>
  <si>
    <t>S076</t>
  </si>
  <si>
    <t>https://www.outlookbusiness.com/corporate/dabur-q4fy26-cons-pat-rises-15-yoy-550-dividend-announced</t>
  </si>
  <si>
    <t>Dabur Q4FY26: Cons PAT Rises 15% YoY</t>
  </si>
  <si>
    <t>Outlook Business</t>
  </si>
  <si>
    <t>S077</t>
  </si>
  <si>
    <t>https://www.bseindia.com/xml-data/corpfiling/AttachHis/b725c364-3c3d-43b0-b74d-533581aca349.pdf</t>
  </si>
  <si>
    <t>Nykaa board outcome 2022-04-22 (acquisition approval)</t>
  </si>
  <si>
    <t>BSE / FSN E-Commerce Ventures Ltd (Nykaa)</t>
  </si>
  <si>
    <t>2022-04-22</t>
  </si>
  <si>
    <t>pdf: sources/pdf/S077_nykaa_board_20220422.pdf</t>
  </si>
  <si>
    <t>S078</t>
  </si>
  <si>
    <t>https://www.bseindia.com/xml-data/corpfiling/AttachHis/7fe70c62-4b66-426f-ae2d-bfde5e8d40ef.pdf</t>
  </si>
  <si>
    <t>Nykaa Reg 30 disclosure 2022-07-29</t>
  </si>
  <si>
    <t>2022-07-29</t>
  </si>
  <si>
    <t>pdf: sources/pdf/S078_nykaa_20220729.pdf. NOT RELEVANT: Nykaa Foundation (Section 8 CSR company) incorporation</t>
  </si>
  <si>
    <t>S079</t>
  </si>
  <si>
    <t>Nykaa Reg 30: further acquisition in Dot &amp; Key and Earth Rhythm (Aug 2024)</t>
  </si>
  <si>
    <t>2024-08-13</t>
  </si>
  <si>
    <t>pdf: sources/pdf/S079_nykaa_dotkey_earthrhythm_202408.pdf</t>
  </si>
  <si>
    <t>S080</t>
  </si>
  <si>
    <t>https://www.bseindia.com/xml-data/corpfiling/AttachHis/c81a6ea5-3ffc-41a4-97cb-f3e5d0efacdd.pdf</t>
  </si>
  <si>
    <t>Nykaa: completion of 39% of Dot &amp; Key Wellness</t>
  </si>
  <si>
    <t>2024-09-21</t>
  </si>
  <si>
    <t>pdf: sources/pdf/S080_nykaa_dotkey_39.pdf</t>
  </si>
  <si>
    <t>S081</t>
  </si>
  <si>
    <t>https://www.bseindia.com/xml-data/corpfiling/AttachHis/c0d014e8-a963-408c-9c19-49ef45a09f93.pdf</t>
  </si>
  <si>
    <t>Nykaa: update on Earth Rhythm stake increase</t>
  </si>
  <si>
    <t>2024-11-26</t>
  </si>
  <si>
    <t>pdf: sources/pdf/S081_nykaa_earthrhythm_202411.pdf</t>
  </si>
  <si>
    <t>S082</t>
  </si>
  <si>
    <t>https://www.bseindia.com/xml-data/corpfiling/AttachHis/f50adba5-2df3-4371-b29f-fd0027a357b7.pdf</t>
  </si>
  <si>
    <t>Nykaa: completion of 2nd tranche into Earth Rhythm</t>
  </si>
  <si>
    <t>2025-06-09</t>
  </si>
  <si>
    <t>pdf: sources/pdf/S082_nykaa_earthrhythm_202506.pdf</t>
  </si>
  <si>
    <t>S083</t>
  </si>
  <si>
    <t>https://www.bseindia.com/xml-data/corpfiling/AttachHis/b37bc566-a9c6-45a4-9127-02a7253187ae.pdf</t>
  </si>
  <si>
    <t>Nykaa Reg 30: acquisition of balance 40% of Nudge Wellness</t>
  </si>
  <si>
    <t>2025-08-12</t>
  </si>
  <si>
    <t>pdf: sources/pdf/S083_nykaa_nudge_202508.pdf. Nykaa: balance 40% of Nudge Wellness for Rs 14.26 lakh; FY25 turnover Rs 34.79 lakh. A JV shell, not a brand acquisition: no row</t>
  </si>
  <si>
    <t>S084</t>
  </si>
  <si>
    <t>https://www.bseindia.com/xml-data/corpfiling/AttachHis/224200c3-20e9-4025-84af-b4bbfe9c5990.pdf</t>
  </si>
  <si>
    <t>Nykaa: Nudge Wellness becomes wholly owned</t>
  </si>
  <si>
    <t>2026-02-09</t>
  </si>
  <si>
    <t>pdf: sources/pdf/S084_nykaa_nudge_100.pdf</t>
  </si>
  <si>
    <t>S085</t>
  </si>
  <si>
    <t>https://www.bseindia.com/xml-data/corpfiling/AttachHis/4cf897a1-fc64-404d-8465-14f7555f5a60.pdf</t>
  </si>
  <si>
    <t>Nykaa board outcome 2026-08-04 (Aminu Wellness acquisition)</t>
  </si>
  <si>
    <t>2026-08-04</t>
  </si>
  <si>
    <t>pdf: sources/pdf/S085_nykaa_board_20260804.pdf. Nykaa board outcome 2026-08-04: 51% of Aminu Wellness (skincare) for up to Rs 32 Cr; FY26 turnover Rs 19.44 Cr. Candidate row not added (time box); see S086 completion</t>
  </si>
  <si>
    <t>S086</t>
  </si>
  <si>
    <t>https://www.bseindia.com/xml-data/corpfiling/AttachHis/b02daee6-3795-4d51-880c-96343f716249.pdf</t>
  </si>
  <si>
    <t>Nykaa: completion of 51% of Aminu Wellness</t>
  </si>
  <si>
    <t>2026-09-24</t>
  </si>
  <si>
    <t>pdf: sources/pdf/S086_nykaa_aminu_completion.pdf</t>
  </si>
  <si>
    <t>S087</t>
  </si>
  <si>
    <t>https://www.storyboard18.com/brand-marketing/nykaa-raises-stake-in-d2c-skincare-brand-dot-acquires-earth-rhythm-39489.htm</t>
  </si>
  <si>
    <t>Nykaa raises stake in D2C skincare brand Dot &amp; Key for Rs 265 crore; acquires Earth Rhythm</t>
  </si>
  <si>
    <t>S088</t>
  </si>
  <si>
    <t>https://www.businesstoday.in/latest/corporate/story/ipo-bound-nykaa-acquires-skincare-brand-dot-and-key-310119-2021-10-22</t>
  </si>
  <si>
    <t>IPO-bound Nykaa acquires skincare brand Dot &amp; Key</t>
  </si>
  <si>
    <t>Business Today</t>
  </si>
  <si>
    <t>2021-10-22</t>
  </si>
  <si>
    <t>S089</t>
  </si>
  <si>
    <t>https://www.bseindia.com/xml-data/corpfiling/AttachHis/7658d0f6-23d4-46d3-a908-d152fb15f167.pdf</t>
  </si>
  <si>
    <t>Emami Reg 30: further investment in Helios Lifestyle (The Man Company)</t>
  </si>
  <si>
    <t>BSE / Emami Ltd</t>
  </si>
  <si>
    <t>2021-06-28</t>
  </si>
  <si>
    <t>pdf: sources/pdf/S089_emami_tmc_202106.pdf</t>
  </si>
  <si>
    <t>S090</t>
  </si>
  <si>
    <t>https://www.bseindia.com/xml-data/corpfiling/AttachHis/c27a590b-780e-41a0-932e-59757a3d88e0.pdf</t>
  </si>
  <si>
    <t>Emami Reg 30: acquisition of Helios shares from existing shareholder</t>
  </si>
  <si>
    <t>2021-08-05</t>
  </si>
  <si>
    <t>pdf: sources/pdf/S090_emami_tmc_202108.pdf</t>
  </si>
  <si>
    <t>S091</t>
  </si>
  <si>
    <t>Emami Reg 30: acquisition of remaining 49.60% of Helios Lifestyle</t>
  </si>
  <si>
    <t>2024-08-30</t>
  </si>
  <si>
    <t>pdf: sources/pdf/S091_emami_tmc_202408.pdf</t>
  </si>
  <si>
    <t>S092</t>
  </si>
  <si>
    <t>https://www.bseindia.com/xml-data/corpfiling/AttachHis/9e66a660-ffba-4ea1-b835-8909fe8b1c47.pdf</t>
  </si>
  <si>
    <t>Emami: completion of Helios Lifestyle remaining stake</t>
  </si>
  <si>
    <t>2024-11-21</t>
  </si>
  <si>
    <t>pdf: sources/pdf/S092_emami_tmc_100.pdf</t>
  </si>
  <si>
    <t>S093</t>
  </si>
  <si>
    <t>https://www.bseindia.com/xml-data/corpfiling/AttachHis/90d1c45f-87cd-4349-864e-762ce08938e3.pdf</t>
  </si>
  <si>
    <t>Emami: strategic investment in Brillare Science (Mar 2021)</t>
  </si>
  <si>
    <t>2021-03-24</t>
  </si>
  <si>
    <t>pdf: sources/pdf/S093_emami_brillare_202103.pdf</t>
  </si>
  <si>
    <t>S094</t>
  </si>
  <si>
    <t>Emami: conversion of Brillare CCPS into equity</t>
  </si>
  <si>
    <t>2021-10-01</t>
  </si>
  <si>
    <t>pdf: sources/pdf/S094_emami_brillare_202110.pdf</t>
  </si>
  <si>
    <t>S095</t>
  </si>
  <si>
    <t>https://www.bseindia.com/xml-data/corpfiling/AttachHis/19ecb322-6aa3-44d7-8f48-9bb8a8e71b51.pdf</t>
  </si>
  <si>
    <t>Emami: acquisition of remaining 4.64% of Brillare</t>
  </si>
  <si>
    <t>2024-03-27</t>
  </si>
  <si>
    <t>pdf: sources/pdf/S095_emami_brillare_100.pdf</t>
  </si>
  <si>
    <t>S096</t>
  </si>
  <si>
    <t>Emami: acquisition of brand Dermicool</t>
  </si>
  <si>
    <t>2022-03-25</t>
  </si>
  <si>
    <t>pdf: sources/pdf/S096_emami_dermicool.pdf</t>
  </si>
  <si>
    <t>S097</t>
  </si>
  <si>
    <t>https://www.bseindia.com/xml-data/corpfiling/AttachHis/a3aa1a3f-66c5-4e71-a31f-a4531c0f9212.pdf</t>
  </si>
  <si>
    <t>Emami Reg 30: agreement to acquire 26% of Axiom Ayurveda</t>
  </si>
  <si>
    <t>2023-09-28</t>
  </si>
  <si>
    <t>pdf: sources/pdf/S097_emami_axiom_2023.pdf. Emami 26% of Axiom Ayurveda (Alofrut), price undisclosed; FY23 turnover Rs 129 Cr. Minority with no disclosed path to control: no row</t>
  </si>
  <si>
    <t>S098</t>
  </si>
  <si>
    <t>https://www.business-standard.com/amp/article/markets/emami-acquires-dermicool-brand-for-rs-432-crore-stock-hits-52-week-low-122032800285_1.html</t>
  </si>
  <si>
    <t>Emami acquires Dermicool brand for Rs 432 crore; stock hits 52-week low</t>
  </si>
  <si>
    <t>Business Standard</t>
  </si>
  <si>
    <t>2022-03-28</t>
  </si>
  <si>
    <t>S099</t>
  </si>
  <si>
    <t>https://www.campaignindia.in/article/emami-acquires-reckitts-dermicool/476761</t>
  </si>
  <si>
    <t>Emami acquires Reckitt's Dermicool</t>
  </si>
  <si>
    <t>Campaign India</t>
  </si>
  <si>
    <t>S100</t>
  </si>
  <si>
    <t>Honasa Reg 30: acquisition of BTM Ventures</t>
  </si>
  <si>
    <t>BSE / Honasa Consumer Ltd</t>
  </si>
  <si>
    <t>2025-12-11</t>
  </si>
  <si>
    <t>pdf: sources/pdf/S100_honasa_btm_2025.pdf</t>
  </si>
  <si>
    <t>S101</t>
  </si>
  <si>
    <t>https://www.bseindia.com/xml-data/corpfiling/AttachHis/2da0828a-e315-4768-a990-7a357fb1df28.pdf</t>
  </si>
  <si>
    <t>Honasa: completion of 95% of BTM Ventures</t>
  </si>
  <si>
    <t>2026-01-06</t>
  </si>
  <si>
    <t>pdf: sources/pdf/S101_honasa_btm_completion.pdf</t>
  </si>
  <si>
    <t>S102</t>
  </si>
  <si>
    <t>Zydus Wellness Reg 30: SPA to acquire Naturell (India)</t>
  </si>
  <si>
    <t>BSE / Zydus Wellness Ltd</t>
  </si>
  <si>
    <t>pdf: sources/pdf/S102_zydus_naturell_2024.pdf</t>
  </si>
  <si>
    <t>S103</t>
  </si>
  <si>
    <t>https://www.bseindia.com/xml-data/corpfiling/AttachHis/ac24e8dc-46a5-465e-aca1-57813e20b6c1.pdf</t>
  </si>
  <si>
    <t>Zydus Wellness: acquired 98.14% of Naturell (India)</t>
  </si>
  <si>
    <t>2024-11-30</t>
  </si>
  <si>
    <t>pdf: sources/pdf/S103_zydus_naturell_completion.pdf</t>
  </si>
  <si>
    <t>S104</t>
  </si>
  <si>
    <t>Bajaj Consumer Reg 30: acquisition (Feb 2025, a)</t>
  </si>
  <si>
    <t>BSE / Bajaj Consumer Care Ltd</t>
  </si>
  <si>
    <t>2025-02-14</t>
  </si>
  <si>
    <t>pdf: sources/pdf/S104_bajaj_vishal_2025a.pdf</t>
  </si>
  <si>
    <t>S105</t>
  </si>
  <si>
    <t>https://www.bseindia.com/xml-data/corpfiling/AttachHis/62fda9cc-ecbc-464a-9aa6-236bb2b3378e.pdf</t>
  </si>
  <si>
    <t>Bajaj Consumer Reg 30: acquisition (Feb 2025, b)</t>
  </si>
  <si>
    <t>pdf: sources/pdf/S105_bajaj_vishal_2025b.pdf. DUPLICATE of S104 (same disclosure filed twice)</t>
  </si>
  <si>
    <t>S106</t>
  </si>
  <si>
    <t>https://www.bseindia.com/xml-data/corpfiling/AttachHis/5f38ea98-eab9-4b6c-8ddd-e22255c5bd40.pdf</t>
  </si>
  <si>
    <t>Bajaj Consumer: update on 51% of Vishal Personal Care</t>
  </si>
  <si>
    <t>2025-05-16</t>
  </si>
  <si>
    <t>pdf: sources/pdf/S106_bajaj_vishal_completion.pdf</t>
  </si>
  <si>
    <t>S107</t>
  </si>
  <si>
    <t>https://www.bseindia.com/xml-data/corpfiling/AttachHis/d5ccc8eb-f66e-4cd5-b0a8-f84f95201fec.pdf</t>
  </si>
  <si>
    <t>Bikaji Reg 30: strategic investment in Hazelnut Factory Food Products</t>
  </si>
  <si>
    <t>BSE / Bikaji Foods International Ltd</t>
  </si>
  <si>
    <t>2024-10-16</t>
  </si>
  <si>
    <t>pdf: sources/pdf/S107_bikaji_hazelnut_2024.pdf. OUT OF SCOPE for Tab A: Bikaji -&gt; Hazelnut Factory is a QSR/bakery chain (40.40% for Rs 61 Cr first tranche, up to Rs 131.01 Cr for 53.02%); FY24 turnover Rs 44.85 Cr. Logged, no row</t>
  </si>
  <si>
    <t>S108</t>
  </si>
  <si>
    <t>https://www.bseindia.com/xml-data/corpfiling/AttachHis/96e56fcf-3d2f-4f9b-92a9-4108d792a566.pdf</t>
  </si>
  <si>
    <t>Jyothy Labs Reg 30: brand acquisition (business purchase agreement)</t>
  </si>
  <si>
    <t>BSE / Jyothy Labs Ltd</t>
  </si>
  <si>
    <t>2024-09-19</t>
  </si>
  <si>
    <t>pdf: sources/pdf/S108_jyothy_brand_2024.pdf. OUT OF SCOPE for Tab A: Jyothy Labs bought laundry-service brand Quiclo for Rs 0.70 Cr; not a packaged consumer brand</t>
  </si>
  <si>
    <t>S109</t>
  </si>
  <si>
    <t>https://www.bseindia.com/xml-data/corpfiling/AttachHis/6a9745a4-a7c8-4281-830d-2d92b21a263e.pdf</t>
  </si>
  <si>
    <t>Bajaj Consumer: update on acquisition of 49% of Vishal Personal Care (tranche 1)</t>
  </si>
  <si>
    <t>2025-03-10</t>
  </si>
  <si>
    <t>pdf: sources/pdf/S109_bajaj_vishal_t1.pdf</t>
  </si>
  <si>
    <t>S110</t>
  </si>
  <si>
    <t>Lotus Chocolate: public announcement of open offer by Reliance Consumer Products</t>
  </si>
  <si>
    <t>BSE / Lotus Chocolate Company Ltd</t>
  </si>
  <si>
    <t>2022-12-29</t>
  </si>
  <si>
    <t>pdf: sources/pdf/S110_lotus_rcpl_pa.pdf</t>
  </si>
  <si>
    <t>S111</t>
  </si>
  <si>
    <t>https://www.bseindia.com/xml-data/corpfiling/AttachHis/9EAB2D92-0114-4779-9BE9-7A3355B52609-161727.pdf</t>
  </si>
  <si>
    <t>Lotus Chocolate: letter of offer (Reliance Consumer Products open offer)</t>
  </si>
  <si>
    <t>2023-03-08</t>
  </si>
  <si>
    <t>pdf: sources/pdf/S111_lotus_rcpl_lof.pdf</t>
  </si>
  <si>
    <t>S112</t>
  </si>
  <si>
    <t>Reliance acquires soft drink brand Campa as part of expansion</t>
  </si>
  <si>
    <t>DT Next (PTI)</t>
  </si>
  <si>
    <t>S113</t>
  </si>
  <si>
    <t>https://thedailybrief.zerodha.com/p/reliances-soft-drink-shake-up</t>
  </si>
  <si>
    <t>Reliance's soft drink shake-up</t>
  </si>
  <si>
    <t>Zerodha The Daily Brief</t>
  </si>
  <si>
    <t>T4</t>
  </si>
  <si>
    <t>S114</t>
  </si>
  <si>
    <t>Reliance Consumer to acquire 50% stake in Sosyo Hajoori Beverages</t>
  </si>
  <si>
    <t>afaqs!</t>
  </si>
  <si>
    <t>S115</t>
  </si>
  <si>
    <t>https://www.exchange4media.com/announcements-news/reliance-to-acquire-50-stake-in-sosyo-hajoori-beverages-124575.html</t>
  </si>
  <si>
    <t>Reliance to acquire 50% stake in Sosyo Hajoori Beverages</t>
  </si>
  <si>
    <t>exchange4media</t>
  </si>
  <si>
    <t>S116</t>
  </si>
  <si>
    <t>RRVL media release: Reliance Consumer Products launches FMCG brand Independence in Gujarat</t>
  </si>
  <si>
    <t>Reliance Retail Ventures Ltd</t>
  </si>
  <si>
    <t>2022-12-15</t>
  </si>
  <si>
    <t>pdf: sources/pdf/S116_rcpl_independence_launch.pdf</t>
  </si>
  <si>
    <t>S117</t>
  </si>
  <si>
    <t>Dabur enters health food drink category with Dabur Vita</t>
  </si>
  <si>
    <t>2021-12-30</t>
  </si>
  <si>
    <t>S118</t>
  </si>
  <si>
    <t>Marico press release: launches first range of ayurvedic products, Saffola ImmuniVeda</t>
  </si>
  <si>
    <t>pdf: sources/pdf/S118_marico_immuniveda_launch.pdf</t>
  </si>
  <si>
    <t>S119</t>
  </si>
  <si>
    <t>https://godrejcp.com/public/uploads/press_release/GPC_press_release.pdf</t>
  </si>
  <si>
    <t>GCPL press release: Godrej Pet Care / Ninja launch</t>
  </si>
  <si>
    <t>INACCESSIBLE: HTTP 403.</t>
  </si>
  <si>
    <t>S120</t>
  </si>
  <si>
    <t>https://honasa.in/cdn/shop/files/Press_Release_12.11.2025.pdf</t>
  </si>
  <si>
    <t>Honasa Consumer press release Q2 FY26 results (12 Nov 2025)</t>
  </si>
  <si>
    <t>2025-11-12</t>
  </si>
  <si>
    <t>pdf: sources/pdf/S120_honasa_q2fy26_pr.pdf</t>
  </si>
  <si>
    <t>S121</t>
  </si>
  <si>
    <t>https://bseindia.com/xml-data/corpfiling/AttachHis/3e13758e-183d-4456-910d-b9bfed01a7e1.pdf</t>
  </si>
  <si>
    <t>Honasa Consumer BSE filing (investor material)</t>
  </si>
  <si>
    <t>pdf: sources/pdf/S121_honasa_bse_3e13758e.pdf</t>
  </si>
  <si>
    <t>S122</t>
  </si>
  <si>
    <t>Honasa Consumer BSE filing: Staze launch</t>
  </si>
  <si>
    <t>pdf: sources/pdf/S122_honasa_staze_bse.pdf</t>
  </si>
  <si>
    <t>S123</t>
  </si>
  <si>
    <t>https://www.godrejcp.com/public/uploads/financial_presentation/GCPL_Q3FY24_concall_transcript.pdf</t>
  </si>
  <si>
    <t>GCPL Q3FY24 earnings call transcript</t>
  </si>
  <si>
    <t>T2</t>
  </si>
  <si>
    <t>S124</t>
  </si>
  <si>
    <t>https://web.archive.org/cdx/search/cdx</t>
  </si>
  <si>
    <t>Listing and Wayback checks: HUL Premium Beauty brands (Acne Squad, Find Your Happy Place, Love Beauty &amp; Planet, Novology)</t>
  </si>
  <si>
    <t>Own check (brand sites + Wayback Machine CDX)</t>
  </si>
  <si>
    <t>captured text. proxy 3/4 evidence; observation not a claim</t>
  </si>
  <si>
    <t>S125</t>
  </si>
  <si>
    <t>Listing and Wayback checks: Honasa in-house brands (Ayuga, Staze, Aqualogica, The Derma Co)</t>
  </si>
  <si>
    <t>S126</t>
  </si>
  <si>
    <t>https://godrejcp.com/annual-reports/2018-19/strategic-pillars/accelerating-innovation-and-building-purposeful-brands</t>
  </si>
  <si>
    <t>GCPL Annual Report 2018-19: Accelerating innovation and building purposeful brands</t>
  </si>
  <si>
    <t>S127</t>
  </si>
  <si>
    <t>Godrej Consumer Products Ltd Annual Report FY2018-19</t>
  </si>
  <si>
    <t>pdf: sources/pdf/ar/GCPL_FY19.pdf; text: sources/raw/ar/GCPL_FY19.txt</t>
  </si>
  <si>
    <t>S128</t>
  </si>
  <si>
    <t>Hindustan Unilever Ltd Annual Report FY2019-20</t>
  </si>
  <si>
    <t>pdf: sources/pdf/ar/HUL_FY20.pdf; text: sources/raw/ar/HUL_FY20.txt</t>
  </si>
  <si>
    <t>S129</t>
  </si>
  <si>
    <t>https://www.bseindia.com/bseplus/AnnualReport/500696/68482500696.pdf</t>
  </si>
  <si>
    <t>Hindustan Unilever Ltd Annual Report FY2020-21</t>
  </si>
  <si>
    <t>pdf: sources/pdf/ar/HUL_FY21.pdf; text: sources/raw/ar/HUL_FY21.txt</t>
  </si>
  <si>
    <t>S130</t>
  </si>
  <si>
    <t>https://www.bseindia.com/bseplus/AnnualReport/500696/73027500696.pdf</t>
  </si>
  <si>
    <t>Hindustan Unilever Ltd Annual Report FY2021-22</t>
  </si>
  <si>
    <t>pdf: sources/pdf/ar/HUL_FY22.pdf; text: sources/raw/ar/HUL_FY22.txt</t>
  </si>
  <si>
    <t>S131</t>
  </si>
  <si>
    <t>Hindustan Unilever Ltd Annual Report FY2022-23</t>
  </si>
  <si>
    <t>pdf: sources/pdf/ar/HUL_FY23.pdf; text: sources/raw/ar/HUL_FY23.txt</t>
  </si>
  <si>
    <t>S132</t>
  </si>
  <si>
    <t>https://www.bseindia.com/xml-data/corpfiling/AttachHis/02d8d87d-90ce-4191-8b3f-4167267aee8a.pdf</t>
  </si>
  <si>
    <t>Hindustan Unilever Ltd Annual Report FY2023-24</t>
  </si>
  <si>
    <t>pdf: sources/pdf/ar/HUL_FY24.pdf; text: sources/raw/ar/HUL_FY24.txt</t>
  </si>
  <si>
    <t>S133</t>
  </si>
  <si>
    <t>https://www.bseindia.com/xml-data/corpfiling/AttachHis/770bf03e-526d-45d8-8364-13f7fc523289.pdf</t>
  </si>
  <si>
    <t>Hindustan Unilever Ltd Annual Report FY2024-25</t>
  </si>
  <si>
    <t>pdf: sources/pdf/ar/HUL_FY25.pdf; text: sources/raw/ar/HUL_FY25.txt</t>
  </si>
  <si>
    <t>https://www.bseindia.com/xml-data/corpfiling/AttachHis/881493e4-75af-4a7f-8c64-9d0886e63f1d.pdf</t>
  </si>
  <si>
    <t>Hindustan Unilever Ltd Annual Report FY2025-26</t>
  </si>
  <si>
    <t>pdf: sources/pdf/ar/HUL_FY26.pdf; text: sources/raw/ar/HUL_FY26.txt</t>
  </si>
  <si>
    <t>S135</t>
  </si>
  <si>
    <t>ITC Ltd Annual Report FY2019-20</t>
  </si>
  <si>
    <t>pdf: sources/pdf/ar/ITC_FY20.pdf; text: sources/raw/ar/ITC_FY20.txt</t>
  </si>
  <si>
    <t>S136</t>
  </si>
  <si>
    <t>https://www.bseindia.com/bseplus/AnnualReport/500875/68921500875.pdf</t>
  </si>
  <si>
    <t>ITC Ltd Annual Report FY2020-21</t>
  </si>
  <si>
    <t>pdf: sources/pdf/ar/ITC_FY21.pdf; text: sources/raw/ar/ITC_FY21.txt</t>
  </si>
  <si>
    <t>S137</t>
  </si>
  <si>
    <t>https://www.bseindia.com/bseplus/AnnualReport/500875/73265500875.pdf</t>
  </si>
  <si>
    <t>ITC Ltd Annual Report FY2021-22</t>
  </si>
  <si>
    <t>pdf: sources/pdf/ar/ITC_FY22.pdf; text: sources/raw/ar/ITC_FY22.txt</t>
  </si>
  <si>
    <t>S138</t>
  </si>
  <si>
    <t>https://www.bseindia.com/xml-data/corpfiling/AttachHis/139aec7a-7a7c-458f-ac5a-29f6dbe67c93.pdf</t>
  </si>
  <si>
    <t>ITC Ltd Annual Report FY2022-23</t>
  </si>
  <si>
    <t>pdf: sources/pdf/ar/ITC_FY23.pdf; text: sources/raw/ar/ITC_FY23.txt</t>
  </si>
  <si>
    <t>S139</t>
  </si>
  <si>
    <t>https://www.bseindia.com/xml-data/corpfiling/AttachHis/f0d1e906-3c13-4993-ad06-e04ad1d3edf9.pdf</t>
  </si>
  <si>
    <t>ITC Ltd Annual Report FY2023-24</t>
  </si>
  <si>
    <t>pdf: sources/pdf/ar/ITC_FY24.pdf; text: sources/raw/ar/ITC_FY24.txt</t>
  </si>
  <si>
    <t>S140</t>
  </si>
  <si>
    <t>https://www.bseindia.com/xml-data/corpfiling/AttachHis/8ba4a189-5fd2-4851-af6f-ec365f7edea2.pdf</t>
  </si>
  <si>
    <t>ITC Ltd Annual Report FY2024-25</t>
  </si>
  <si>
    <t>pdf: sources/pdf/ar/ITC_FY25.pdf; text: sources/raw/ar/ITC_FY25.txt</t>
  </si>
  <si>
    <t>S141</t>
  </si>
  <si>
    <t>https://www.bseindia.com/xml-data/corpfiling/AttachHis/590b42ae-15c9-44cf-be69-e58053128a6b.pdf</t>
  </si>
  <si>
    <t>ITC Ltd Annual Report FY2025-26</t>
  </si>
  <si>
    <t>pdf: sources/pdf/ar/ITC_FY26.pdf; text: sources/raw/ar/ITC_FY26.txt</t>
  </si>
  <si>
    <t>S142</t>
  </si>
  <si>
    <t>Marico Ltd Annual Report FY2019-20</t>
  </si>
  <si>
    <t>pdf: sources/pdf/ar/Marico_FY20.pdf; text: sources/raw/ar/Marico_FY20.txt</t>
  </si>
  <si>
    <t>S143</t>
  </si>
  <si>
    <t>https://www.bseindia.com/bseplus/AnnualReport/531642/69332531642.pdf</t>
  </si>
  <si>
    <t>Marico Ltd Annual Report FY2020-21</t>
  </si>
  <si>
    <t>pdf: sources/pdf/ar/Marico_FY21.pdf; text: sources/raw/ar/Marico_FY21.txt</t>
  </si>
  <si>
    <t>S144</t>
  </si>
  <si>
    <t>https://www.bseindia.com/bseplus/AnnualReport/531642/73659531642.pdf</t>
  </si>
  <si>
    <t>Marico Ltd Annual Report FY2021-22</t>
  </si>
  <si>
    <t>pdf: sources/pdf/ar/Marico_FY22.pdf; text: sources/raw/ar/Marico_FY22.txt</t>
  </si>
  <si>
    <t>S145</t>
  </si>
  <si>
    <t>https://www.bseindia.com/xml-data/corpfiling/AttachHis/799c9f5d-9eb8-454d-9835-fab840a37439.pdf</t>
  </si>
  <si>
    <t>Marico Ltd Annual Report FY2022-23</t>
  </si>
  <si>
    <t>pdf: sources/pdf/ar/Marico_FY23.pdf; text: sources/raw/ar/Marico_FY23.txt</t>
  </si>
  <si>
    <t>S146</t>
  </si>
  <si>
    <t>https://www.bseindia.com/xml-data/corpfiling/AttachHis/bef8f453-f9a7-43c0-b42d-64b514e8fefd.pdf</t>
  </si>
  <si>
    <t>Marico Ltd Annual Report FY2023-24</t>
  </si>
  <si>
    <t>pdf: sources/pdf/ar/Marico_FY24.pdf; text: sources/raw/ar/Marico_FY24.txt</t>
  </si>
  <si>
    <t>S147</t>
  </si>
  <si>
    <t>https://www.bseindia.com/xml-data/corpfiling/AttachHis/b6de7a5d-3f54-420a-bc2c-02b086e01500.pdf</t>
  </si>
  <si>
    <t>Marico Ltd Annual Report FY2024-25</t>
  </si>
  <si>
    <t>pdf: sources/pdf/ar/Marico_FY25.pdf; text: sources/raw/ar/Marico_FY25.txt</t>
  </si>
  <si>
    <t>S148</t>
  </si>
  <si>
    <t>https://www.bseindia.com/xml-data/corpfiling/AttachHis/4d48a9a7-e7ee-4677-a18b-78ae7b5b01c7.pdf</t>
  </si>
  <si>
    <t>Marico Ltd Annual Report FY2025-26</t>
  </si>
  <si>
    <t>pdf: sources/pdf/ar/Marico_FY26.pdf; text: sources/raw/ar/Marico_FY26.txt</t>
  </si>
  <si>
    <t>S149</t>
  </si>
  <si>
    <t>Tata Consumer Products Ltd Annual Report FY2019-20</t>
  </si>
  <si>
    <t>pdf: sources/pdf/ar/TCPL_FY20.pdf; text: sources/raw/ar/TCPL_FY20.txt</t>
  </si>
  <si>
    <t>S150</t>
  </si>
  <si>
    <t>https://www.bseindia.com/bseplus/AnnualReport/500800/68500500800.pdf</t>
  </si>
  <si>
    <t>Tata Consumer Products Ltd Annual Report FY2020-21</t>
  </si>
  <si>
    <t>pdf: sources/pdf/ar/TCPL_FY21.pdf; text: sources/raw/ar/TCPL_FY21.txt</t>
  </si>
  <si>
    <t>S151</t>
  </si>
  <si>
    <t>https://www.bseindia.com/bseplus/AnnualReport/500800/73101500800.pdf</t>
  </si>
  <si>
    <t>Tata Consumer Products Ltd Annual Report FY2021-22</t>
  </si>
  <si>
    <t>pdf: sources/pdf/ar/TCPL_FY22.pdf; text: sources/raw/ar/TCPL_FY22.txt</t>
  </si>
  <si>
    <t>S152</t>
  </si>
  <si>
    <t>Tata Consumer Products Ltd Annual Report FY2022-23</t>
  </si>
  <si>
    <t>pdf: sources/pdf/ar/TCPL_FY23.pdf; text: sources/raw/ar/TCPL_FY23.txt</t>
  </si>
  <si>
    <t>S153</t>
  </si>
  <si>
    <t>https://www.bseindia.com/xml-data/corpfiling/AttachHis/166b0feb-ff2c-484f-a942-74fbf8053121.pdf</t>
  </si>
  <si>
    <t>Tata Consumer Products Ltd Annual Report FY2023-24</t>
  </si>
  <si>
    <t>pdf: sources/pdf/ar/TCPL_FY24.pdf; text: sources/raw/ar/TCPL_FY24.txt</t>
  </si>
  <si>
    <t>S154</t>
  </si>
  <si>
    <t>https://www.bseindia.com/xml-data/corpfiling/AttachHis/fcd18b51-5f3f-4fc8-950a-b1ca424b85b2.pdf</t>
  </si>
  <si>
    <t>Tata Consumer Products Ltd Annual Report FY2024-25</t>
  </si>
  <si>
    <t>pdf: sources/pdf/ar/TCPL_FY25.pdf; text: sources/raw/ar/TCPL_FY25.txt</t>
  </si>
  <si>
    <t>S155</t>
  </si>
  <si>
    <t>https://www.bseindia.com/xml-data/corpfiling/AttachHis/9065880b-665c-4296-8e23-cea7822e2668.pdf</t>
  </si>
  <si>
    <t>Tata Consumer Products Ltd Annual Report FY2025-26</t>
  </si>
  <si>
    <t>pdf: sources/pdf/ar/TCPL_FY26.pdf; text: sources/raw/ar/TCPL_FY26.txt</t>
  </si>
  <si>
    <t>S156</t>
  </si>
  <si>
    <t>https://www.bseindia.com/bseplus/AnnualReport/532424/5324240320.pdf</t>
  </si>
  <si>
    <t>Godrej Consumer Products Ltd Annual Report FY2019-20</t>
  </si>
  <si>
    <t>pdf: sources/pdf/ar/GCPL_FY20.pdf; text: sources/raw/ar/GCPL_FY20.txt</t>
  </si>
  <si>
    <t>S157</t>
  </si>
  <si>
    <t>https://www.bseindia.com/bseplus/AnnualReport/532424/68872532424.pdf</t>
  </si>
  <si>
    <t>Godrej Consumer Products Ltd Annual Report FY2020-21</t>
  </si>
  <si>
    <t>pdf: sources/pdf/ar/GCPL_FY21.pdf; text: sources/raw/ar/GCPL_FY21.txt</t>
  </si>
  <si>
    <t>S158</t>
  </si>
  <si>
    <t>https://www.bseindia.com/bseplus/AnnualReport/532424/73620532424.pdf</t>
  </si>
  <si>
    <t>Godrej Consumer Products Ltd Annual Report FY2021-22</t>
  </si>
  <si>
    <t>pdf: sources/pdf/ar/GCPL_FY22.pdf; text: sources/raw/ar/GCPL_FY22.txt</t>
  </si>
  <si>
    <t>S159</t>
  </si>
  <si>
    <t>https://www.bseindia.com/xml-data/corpfiling/AttachHis/5832fc49-7be6-4ab2-ac1f-e570fbe601eb.pdf</t>
  </si>
  <si>
    <t>Godrej Consumer Products Ltd Annual Report FY2022-23</t>
  </si>
  <si>
    <t>pdf: sources/pdf/ar/GCPL_FY23.pdf; text: sources/raw/ar/GCPL_FY23.txt</t>
  </si>
  <si>
    <t>S160</t>
  </si>
  <si>
    <t>https://www.bseindia.com/xml-data/corpfiling/AttachHis/a96872e8-1acd-4801-91bf-ae002661701a.pdf</t>
  </si>
  <si>
    <t>Godrej Consumer Products Ltd Annual Report FY2023-24</t>
  </si>
  <si>
    <t>pdf: sources/pdf/ar/GCPL_FY24.pdf; text: sources/raw/ar/GCPL_FY24.txt</t>
  </si>
  <si>
    <t>S161</t>
  </si>
  <si>
    <t>https://www.bseindia.com/xml-data/corpfiling/AttachHis/e571dc22-d936-41e4-9c14-26ddd2ccd937.pdf</t>
  </si>
  <si>
    <t>Godrej Consumer Products Ltd Annual Report FY2024-25</t>
  </si>
  <si>
    <t>pdf: sources/pdf/ar/GCPL_FY25.pdf; text: sources/raw/ar/GCPL_FY25.txt</t>
  </si>
  <si>
    <t>S162</t>
  </si>
  <si>
    <t>Godrej Consumer Products Ltd Annual Report FY2025-26</t>
  </si>
  <si>
    <t>pdf: sources/pdf/ar/GCPL_FY26.pdf; text: sources/raw/ar/GCPL_FY26.txt</t>
  </si>
  <si>
    <t>Honasa Consumer Ltd Annual Report FY2023-24</t>
  </si>
  <si>
    <t>pdf: sources/pdf/ar/Honasa_FY24.pdf; text: sources/raw/ar/Honasa_FY24.txt</t>
  </si>
  <si>
    <t>S164</t>
  </si>
  <si>
    <t>https://www.bseindia.com/xml-data/corpfiling/AttachHis/f7192a9f-5721-412b-b388-9c6e93caa50e.pdf</t>
  </si>
  <si>
    <t>Honasa Consumer Ltd Annual Report FY2024-25</t>
  </si>
  <si>
    <t>pdf: sources/pdf/ar/Honasa_FY25.pdf; text: sources/raw/ar/Honasa_FY25.txt</t>
  </si>
  <si>
    <t>S165</t>
  </si>
  <si>
    <t>Honasa Consumer Ltd Annual Report FY2025-26</t>
  </si>
  <si>
    <t>pdf: sources/pdf/ar/Honasa_FY26.pdf; text: sources/raw/ar/Honasa_FY26.txt</t>
  </si>
  <si>
    <t>S166</t>
  </si>
  <si>
    <t>https://www.bseindia.com/bseplus/AnnualReport/543384/73761543384.pdf</t>
  </si>
  <si>
    <t>FSN E-Commerce Ventures Ltd (Nykaa) Annual Report FY2021-22</t>
  </si>
  <si>
    <t>pdf: sources/pdf/ar/Nykaa_FY22.pdf; text: sources/raw/ar/Nykaa_FY22.txt</t>
  </si>
  <si>
    <t>S167</t>
  </si>
  <si>
    <t>https://www.bseindia.com/xml-data/corpfiling/AttachHis/9eef219d-bd49-49f3-9709-e7403015e1e1.pdf</t>
  </si>
  <si>
    <t>FSN E-Commerce Ventures Ltd (Nykaa) Annual Report FY2022-23</t>
  </si>
  <si>
    <t>pdf: sources/pdf/ar/Nykaa_FY23.pdf; text: sources/raw/ar/Nykaa_FY23.txt</t>
  </si>
  <si>
    <t>S168</t>
  </si>
  <si>
    <t>FSN E-Commerce Ventures Ltd (Nykaa) Annual Report FY2023-24</t>
  </si>
  <si>
    <t>pdf: sources/pdf/ar/Nykaa_FY24.pdf; text: sources/raw/ar/Nykaa_FY24.txt</t>
  </si>
  <si>
    <t>S169</t>
  </si>
  <si>
    <t>https://www.bseindia.com/xml-data/corpfiling/AttachHis/3025af94-ff0a-4ef0-a5fd-c190e961a60c.pdf</t>
  </si>
  <si>
    <t>FSN E-Commerce Ventures Ltd (Nykaa) Annual Report FY2024-25</t>
  </si>
  <si>
    <t>pdf: sources/pdf/ar/Nykaa_FY25.pdf; text: sources/raw/ar/Nykaa_FY25.txt</t>
  </si>
  <si>
    <t>S170</t>
  </si>
  <si>
    <t>https://www.bseindia.com/xml-data/corpfiling/AttachHis/e96ee6b3-76bd-448f-aba2-15ac8c042994.pdf</t>
  </si>
  <si>
    <t>FSN E-Commerce Ventures Ltd (Nykaa) Annual Report FY2025-26</t>
  </si>
  <si>
    <t>pdf: sources/pdf/ar/Nykaa_FY26.pdf; text: sources/raw/ar/Nykaa_FY26.txt</t>
  </si>
  <si>
    <t>S171</t>
  </si>
  <si>
    <t>https://www.bseindia.com/bseplus/AnnualReport/500096/5000960320.pdf</t>
  </si>
  <si>
    <t>Dabur India Ltd Annual Report FY2019-20</t>
  </si>
  <si>
    <t>pdf: sources/pdf/ar/Dabur_FY20.pdf; text: sources/raw/ar/Dabur_FY20.txt</t>
  </si>
  <si>
    <t>S172</t>
  </si>
  <si>
    <t>https://www.bseindia.com/bseplus/AnnualReport/500096/69003500096_28_07_21.pdf</t>
  </si>
  <si>
    <t>Dabur India Ltd Annual Report FY2020-21</t>
  </si>
  <si>
    <t>pdf: sources/pdf/ar/Dabur_FY21.pdf; text: sources/raw/ar/Dabur_FY21.txt</t>
  </si>
  <si>
    <t>S173</t>
  </si>
  <si>
    <t>https://www.bseindia.com/bseplus/AnnualReport/500096/73713500096.pdf</t>
  </si>
  <si>
    <t>Dabur India Ltd Annual Report FY2021-22</t>
  </si>
  <si>
    <t>pdf: sources/pdf/ar/Dabur_FY22.pdf; text: sources/raw/ar/Dabur_FY22.txt</t>
  </si>
  <si>
    <t>S174</t>
  </si>
  <si>
    <t>https://www.bseindia.com/xml-data/corpfiling/AttachHis/a8dfb6ee-147c-45ab-8d51-4a7fc4ebfacb.pdf</t>
  </si>
  <si>
    <t>Dabur India Ltd Annual Report FY2022-23</t>
  </si>
  <si>
    <t>pdf: sources/pdf/ar/Dabur_FY23.pdf; text: sources/raw/ar/Dabur_FY23.txt</t>
  </si>
  <si>
    <t>S175</t>
  </si>
  <si>
    <t>https://www.bseindia.com/xml-data/corpfiling/AttachHis/b6f3ff71-f4ec-428e-a42f-7cb240b20049.pdf</t>
  </si>
  <si>
    <t>Dabur India Ltd Annual Report FY2023-24</t>
  </si>
  <si>
    <t>pdf: sources/pdf/ar/Dabur_FY24.pdf; text: sources/raw/ar/Dabur_FY24.txt</t>
  </si>
  <si>
    <t>S176</t>
  </si>
  <si>
    <t>https://www.bseindia.com/xml-data/corpfiling/AttachHis/adf0f46e-1909-419e-8bae-c6925bc09ca3.pdf</t>
  </si>
  <si>
    <t>Dabur India Ltd Annual Report FY2024-25</t>
  </si>
  <si>
    <t>pdf: sources/pdf/ar/Dabur_FY25.pdf; text: sources/raw/ar/Dabur_FY25.txt</t>
  </si>
  <si>
    <t>S177</t>
  </si>
  <si>
    <t>https://www.bseindia.com/xml-data/corpfiling/AttachHis/81d939d7-ea85-443b-98c5-934c71afa68c.pdf</t>
  </si>
  <si>
    <t>Dabur India Ltd Annual Report FY2025-26</t>
  </si>
  <si>
    <t>pdf: sources/pdf/ar/Dabur_FY26.pdf; text: sources/raw/ar/Dabur_FY26.txt</t>
  </si>
  <si>
    <t>S178</t>
  </si>
  <si>
    <t>https://www.bseindia.com/bseplus/AnnualReport/531162/65043531162_03_10_20.pdf</t>
  </si>
  <si>
    <t>Emami Ltd Annual Report FY2019-20</t>
  </si>
  <si>
    <t>pdf: sources/pdf/ar/Emami_FY20.pdf; text: sources/raw/ar/Emami_FY20.txt</t>
  </si>
  <si>
    <t>S179</t>
  </si>
  <si>
    <t>https://www.bseindia.com/bseplus/AnnualReport/531162/70773531162.pdf</t>
  </si>
  <si>
    <t>Emami Ltd Annual Report FY2020-21</t>
  </si>
  <si>
    <t>pdf: sources/pdf/ar/Emami_FY21.pdf; text: sources/raw/ar/Emami_FY21.txt</t>
  </si>
  <si>
    <t>S180</t>
  </si>
  <si>
    <t>https://www.bseindia.com/bseplus/AnnualReport/531162/74282531162.pdf</t>
  </si>
  <si>
    <t>Emami Ltd Annual Report FY2021-22</t>
  </si>
  <si>
    <t>pdf: sources/pdf/ar/Emami_FY22.pdf; text: sources/raw/ar/Emami_FY22.txt</t>
  </si>
  <si>
    <t>S181</t>
  </si>
  <si>
    <t>https://www.bseindia.com/xml-data/corpfiling/AttachHis/acb38639-bd05-4105-b1c7-77685191b10d.pdf</t>
  </si>
  <si>
    <t>Emami Ltd Annual Report FY2022-23</t>
  </si>
  <si>
    <t>pdf: sources/pdf/ar/Emami_FY23.pdf; text: sources/raw/ar/Emami_FY23.txt</t>
  </si>
  <si>
    <t>S182</t>
  </si>
  <si>
    <t>https://www.bseindia.com/xml-data/corpfiling/AttachHis/08cb573e-4312-49fb-94bf-ca727bf5e692.pdf</t>
  </si>
  <si>
    <t>Emami Ltd Annual Report FY2023-24</t>
  </si>
  <si>
    <t>pdf: sources/pdf/ar/Emami_FY24.pdf; text: sources/raw/ar/Emami_FY24.txt</t>
  </si>
  <si>
    <t>S183</t>
  </si>
  <si>
    <t>https://www.bseindia.com/xml-data/corpfiling/AttachHis/b4db8955-ab3f-49fe-b8d0-b9243f19dbd0.pdf</t>
  </si>
  <si>
    <t>Emami Ltd Annual Report FY2024-25</t>
  </si>
  <si>
    <t>pdf: sources/pdf/ar/Emami_FY25.pdf; text: sources/raw/ar/Emami_FY25.txt</t>
  </si>
  <si>
    <t>S184</t>
  </si>
  <si>
    <t>https://www.bseindia.com/xml-data/corpfiling/AttachHis/7d60205d-e7f9-4408-86e5-e30e3967b68a.pdf</t>
  </si>
  <si>
    <t>Emami Ltd Annual Report FY2025-26</t>
  </si>
  <si>
    <t>pdf: sources/pdf/ar/Emami_FY26.pdf; text: sources/raw/ar/Emami_FY26.txt</t>
  </si>
  <si>
    <t>S185</t>
  </si>
  <si>
    <t>https://www.bseindia.com/bseplus/AnnualReport/531335/5313350320.pdf</t>
  </si>
  <si>
    <t>Zydus Wellness Ltd Annual Report FY2019-20</t>
  </si>
  <si>
    <t>pdf: sources/pdf/ar/Zydus_FY20.pdf; text: sources/raw/ar/Zydus_FY20.txt</t>
  </si>
  <si>
    <t>S186</t>
  </si>
  <si>
    <t>https://www.bseindia.com/bseplus/AnnualReport/531335/68735531335.pdf</t>
  </si>
  <si>
    <t>Zydus Wellness Ltd Annual Report FY2020-21</t>
  </si>
  <si>
    <t>pdf: sources/pdf/ar/Zydus_FY21.pdf; text: sources/raw/ar/Zydus_FY21.txt</t>
  </si>
  <si>
    <t>S187</t>
  </si>
  <si>
    <t>https://www.bseindia.com/bseplus/AnnualReport/531335/73481531335.pdf</t>
  </si>
  <si>
    <t>Zydus Wellness Ltd Annual Report FY2021-22</t>
  </si>
  <si>
    <t>pdf: sources/pdf/ar/Zydus_FY22.pdf; text: sources/raw/ar/Zydus_FY22.txt</t>
  </si>
  <si>
    <t>S188</t>
  </si>
  <si>
    <t>https://www.bseindia.com/xml-data/corpfiling/AttachHis/8e7afecd-9c22-49c7-9c6c-aa1e79acf5da.pdf</t>
  </si>
  <si>
    <t>Zydus Wellness Ltd Annual Report FY2022-23</t>
  </si>
  <si>
    <t>pdf: sources/pdf/ar/Zydus_FY23.pdf; text: sources/raw/ar/Zydus_FY23.txt</t>
  </si>
  <si>
    <t>S189</t>
  </si>
  <si>
    <t>Zydus Wellness Ltd Annual Report FY2023-24</t>
  </si>
  <si>
    <t>pdf: sources/pdf/ar/Zydus_FY24.pdf; text: sources/raw/ar/Zydus_FY24.txt</t>
  </si>
  <si>
    <t>S190</t>
  </si>
  <si>
    <t>https://www.bseindia.com/xml-data/corpfiling/AttachHis/f7dafc64-c1e0-4e8a-80c1-36a9115fba8f.pdf</t>
  </si>
  <si>
    <t>Zydus Wellness Ltd Annual Report FY2024-25</t>
  </si>
  <si>
    <t>pdf: sources/pdf/ar/Zydus_FY25.pdf; text: sources/raw/ar/Zydus_FY25.txt</t>
  </si>
  <si>
    <t>S191</t>
  </si>
  <si>
    <t>https://www.bseindia.com/xml-data/corpfiling/AttachHis/2e64d5e7-7432-4fad-8f31-bf540f1eeda9.pdf</t>
  </si>
  <si>
    <t>Zydus Wellness Ltd Annual Report FY2025-26</t>
  </si>
  <si>
    <t>pdf: sources/pdf/ar/Zydus_FY26.pdf; text: sources/raw/ar/Zydus_FY26.txt</t>
  </si>
  <si>
    <t>S192</t>
  </si>
  <si>
    <t>Bajaj Consumer Care Ltd Annual Report FY2019-20</t>
  </si>
  <si>
    <t>pdf: sources/pdf/ar/Bajaj_FY20.pdf; text: sources/raw/ar/Bajaj_FY20.txt</t>
  </si>
  <si>
    <t>S193</t>
  </si>
  <si>
    <t>https://www.bseindia.com/bseplus/AnnualReport/533229/68486533229.pdf</t>
  </si>
  <si>
    <t>Bajaj Consumer Care Ltd Annual Report FY2020-21</t>
  </si>
  <si>
    <t>pdf: sources/pdf/ar/Bajaj_FY21.pdf; text: sources/raw/ar/Bajaj_FY21.txt</t>
  </si>
  <si>
    <t>S194</t>
  </si>
  <si>
    <t>Bajaj Consumer Care Ltd Annual Report FY2021-22</t>
  </si>
  <si>
    <t>pdf: sources/pdf/ar/Bajaj_FY22.pdf; text: sources/raw/ar/Bajaj_FY22.txt</t>
  </si>
  <si>
    <t>S195</t>
  </si>
  <si>
    <t>https://www.bseindia.com/xml-data/corpfiling/AttachHis/13280d5c-1ca5-4226-b919-3a3f4c1f479d.pdf</t>
  </si>
  <si>
    <t>Bajaj Consumer Care Ltd Annual Report FY2022-23</t>
  </si>
  <si>
    <t>pdf: sources/pdf/ar/Bajaj_FY23.pdf; text: sources/raw/ar/Bajaj_FY23.txt</t>
  </si>
  <si>
    <t>S196</t>
  </si>
  <si>
    <t>https://www.bseindia.com/bseplus/AnnualReport/533229/111229533229.pdf</t>
  </si>
  <si>
    <t>Bajaj Consumer Care Ltd Annual Report FY2023-24</t>
  </si>
  <si>
    <t>pdf: sources/pdf/ar/Bajaj_FY24.pdf; text: sources/raw/ar/Bajaj_FY24.txt</t>
  </si>
  <si>
    <t>S197</t>
  </si>
  <si>
    <t>https://www.bseindia.com/bseplus/AnnualReport/533229/111230533229.pdf</t>
  </si>
  <si>
    <t>Bajaj Consumer Care Ltd Annual Report FY2024-25</t>
  </si>
  <si>
    <t>pdf: sources/pdf/ar/Bajaj_FY25.pdf; text: sources/raw/ar/Bajaj_FY25.txt</t>
  </si>
  <si>
    <t>S198</t>
  </si>
  <si>
    <t>https://www.bseindia.com/xml-data/corpfiling/AttachHis/56c09424-9bef-4c45-97b4-34e5653c9669.pdf</t>
  </si>
  <si>
    <t>Bajaj Consumer Care Ltd Annual Report FY2025-26</t>
  </si>
  <si>
    <t>pdf: sources/pdf/ar/Bajaj_FY26.pdf; text: sources/raw/ar/Bajaj_FY26.txt</t>
  </si>
  <si>
    <t>S199</t>
  </si>
  <si>
    <t>https://www.bseindia.com/bseplus/AnnualReport/500325/5003250320.pdf</t>
  </si>
  <si>
    <t>Reliance Industries Ltd Annual Report FY2019-20</t>
  </si>
  <si>
    <t>BSE / Reliance Industries Ltd</t>
  </si>
  <si>
    <t>pdf: sources/pdf/ar/RIL_FY20.pdf; text: sources/raw/ar/RIL_FY20.txt</t>
  </si>
  <si>
    <t>S200</t>
  </si>
  <si>
    <t>https://www.bseindia.com/bseplus/AnnualReport/500325/68509500325.pdf</t>
  </si>
  <si>
    <t>Reliance Industries Ltd Annual Report FY2020-21</t>
  </si>
  <si>
    <t>pdf: sources/pdf/ar/RIL_FY21.pdf; text: sources/raw/ar/RIL_FY21.txt</t>
  </si>
  <si>
    <t>S201</t>
  </si>
  <si>
    <t>https://www.bseindia.com/bseplus/AnnualReport/500325/74185500325.pdf</t>
  </si>
  <si>
    <t>Reliance Industries Ltd Annual Report FY2021-22</t>
  </si>
  <si>
    <t>pdf: sources/pdf/ar/RIL_FY22.pdf; text: sources/raw/ar/RIL_FY22.txt</t>
  </si>
  <si>
    <t>S202</t>
  </si>
  <si>
    <t>Reliance Industries Ltd Annual Report FY2022-23</t>
  </si>
  <si>
    <t>pdf: sources/pdf/ar/RIL_FY23.pdf; text: sources/raw/ar/RIL_FY23.txt</t>
  </si>
  <si>
    <t>S203</t>
  </si>
  <si>
    <t>https://www.bseindia.com/xml-data/corpfiling/AttachHis/d473280d-1c2b-4037-8ff9-dfbb82aa2c7e.pdf</t>
  </si>
  <si>
    <t>Reliance Industries Ltd Annual Report FY2023-24</t>
  </si>
  <si>
    <t>pdf: sources/pdf/ar/RIL_FY24.pdf; text: sources/raw/ar/RIL_FY24.txt</t>
  </si>
  <si>
    <t>S204</t>
  </si>
  <si>
    <t>https://www.bseindia.com/xml-data/corpfiling/AttachHis/468b09a3-a212-4066-bbaa-4b0ba524d2ce.pdf</t>
  </si>
  <si>
    <t>Reliance Industries Ltd Annual Report FY2024-25</t>
  </si>
  <si>
    <t>pdf: sources/pdf/ar/RIL_FY25.pdf; text: sources/raw/ar/RIL_FY25.txt</t>
  </si>
  <si>
    <t>S205</t>
  </si>
  <si>
    <t>https://www.bseindia.com/xml-data/corpfiling/AttachHis/cc08294f-ec68-4f15-aaa4-c14a3c4bdfb2.pdf</t>
  </si>
  <si>
    <t>Reliance Industries Ltd Annual Report FY2025-26</t>
  </si>
  <si>
    <t>pdf: sources/pdf/ar/RIL_FY26.pdf; text: sources/raw/ar/RIL_FY26.txt</t>
  </si>
  <si>
    <t>S206</t>
  </si>
  <si>
    <t>Listing and Wayback checks: Natyv Soul, Bajaj Zero Grey, Tata GoFit, Tata Simply Better, Dabur Vita, I'mlite</t>
  </si>
  <si>
    <t>S207</t>
  </si>
  <si>
    <t>Listing and Wayback checks batch 2: Immuniveda, Godrej Ninja, Godrej Protekt, Lever Ayush, Veggie Clean</t>
  </si>
  <si>
    <t>S208</t>
  </si>
  <si>
    <t>https://entrackr.com/2024/09/d2c-brand-minimalist-posts-rs-350-cr-revenue-in-fy24-profits-double</t>
  </si>
  <si>
    <t>D2C brand Minimalist posts Rs 350 Cr revenue in FY24, profits double</t>
  </si>
  <si>
    <t>Entrackr</t>
  </si>
  <si>
    <t>2024-09-29</t>
  </si>
  <si>
    <t>Part 1 build-model benchmarks (Minimalist FY23-FY24 P&amp;L lines; RoC-based)</t>
  </si>
  <si>
    <t>https://entrackr.com/fintrackr/hul-owned-minimalist-revenue-spikes-48-to-rs-515-cr-in-fy25-11096050</t>
  </si>
  <si>
    <t>HUL-owned Minimalist revenue spikes 48% to Rs 515 Cr in FY25</t>
  </si>
  <si>
    <t>2026-02-11</t>
  </si>
  <si>
    <t>Part 1 build-model benchmarks (Minimalist FY25 P&amp;L lines; RoC-based)</t>
  </si>
  <si>
    <t>S210</t>
  </si>
  <si>
    <t>https://www.icra.in/Rating/GetRationalReportFilePdf?id=134607</t>
  </si>
  <si>
    <t>Drools Pet Food Private Limited: Ratings downgraded; rated amount enhanced</t>
  </si>
  <si>
    <t>ICRA</t>
  </si>
  <si>
    <t>2025-04-22</t>
  </si>
  <si>
    <t>Part 4 target: Drools. pdf: sources/pdf/S210_icra_drools_2025.pdf. Credit-rating rationale (independent agency, uses company financials).</t>
  </si>
  <si>
    <t>S211</t>
  </si>
  <si>
    <t>https://entrackr.com/news/pet-food-brand-drools-claims-unicorn-status-after-minority-stake-by-nestl%C3%A9-9307688</t>
  </si>
  <si>
    <t>Pet food brand Drools claims unicorn status after minority stake by Nestle</t>
  </si>
  <si>
    <t>Part 4 target: Drools. Nestle stake and valuation not disclosed; 'unicorn' is a company claim.</t>
  </si>
  <si>
    <t>S212</t>
  </si>
  <si>
    <t>https://entrackr.com/fintrackr/petcare-startup-supertails-crosses-rs-100-cr-revenue-in-fy25-losses-surge-28-11167943</t>
  </si>
  <si>
    <t>Petcare startup Supertails crosses Rs 100 Cr revenue in FY25, losses surge 28%</t>
  </si>
  <si>
    <t>2026-03-02</t>
  </si>
  <si>
    <t>Part 4 target: Supertails. Post-money valuation not in article.</t>
  </si>
  <si>
    <t>S213</t>
  </si>
  <si>
    <t>https://www.businesstoday.in/technology/story/supertails-raises-30-million-in-funding-led-by-venturi-partners-515355-2026-02-10</t>
  </si>
  <si>
    <t>Supertails raises $30 million in funding led by Venturi Partners</t>
  </si>
  <si>
    <t>2026-02-10</t>
  </si>
  <si>
    <t>Part 4 target: Supertails. Valuation NOT disclosed; ~$130M post-money seen only in search-engine summaries (UNCONFIRMED).</t>
  </si>
  <si>
    <t>S214</t>
  </si>
  <si>
    <t>https://entrackr.com/exclusive/exclusive-heads-up-for-tails-to-raise-25-mn-in-series-b-led-by-apparel-group-10940349</t>
  </si>
  <si>
    <t>Exclusive: Heads Up For Tails to raise $25 Mn in Series B led by Apparel Group</t>
  </si>
  <si>
    <t>2025-12-23</t>
  </si>
  <si>
    <t>Part 4 target: HUFT. ARR is company-stated, not audited; valuation not disclosed.</t>
  </si>
  <si>
    <t>S215</t>
  </si>
  <si>
    <t>https://entrackr.com/2024/04/heads-up-for-tails-posts-flat-scale-in-fy23-losses-mount-5x</t>
  </si>
  <si>
    <t>Heads Up For Tails posts flat scale in FY23, losses mount 5X</t>
  </si>
  <si>
    <t>2024-04-17</t>
  </si>
  <si>
    <t>Part 4 target: HUFT. Conflicts with S216 entity figures - see conflicts.md.</t>
  </si>
  <si>
    <t>S216</t>
  </si>
  <si>
    <t>https://inc42.com/company/heads-up-for-tails/financials/</t>
  </si>
  <si>
    <t>Heads Up For Tails financials (Earth Paws Pvt Ltd)</t>
  </si>
  <si>
    <t>Inc42 (company data page)</t>
  </si>
  <si>
    <t>Part 4 target: HUFT. Entity Earth Paws Pvt Ltd; likely standalone - see conflicts.md.</t>
  </si>
  <si>
    <t>Conflicts log</t>
  </si>
  <si>
    <t>One section per conflicting figure, all in the same format. Each table row is a figure in circulation: source (tier), then what it actually measures. Below each table: the verdict and the value used in tab_a.</t>
  </si>
  <si>
    <t>Tiers follow the evidence rules in the README: T1 = exchange filing or company release; T3 = press; T4 = blog or newsletter. Source IDs point to `sources/raw/S###_*.txt`.</t>
  </si>
  <si>
    <t>1. HUL – Minimalist: price</t>
  </si>
  <si>
    <t>Figure</t>
  </si>
  <si>
    <t>Source (tier)</t>
  </si>
  <si>
    <t>What it measures</t>
  </si>
  <si>
    <t>₹2,955 Cr</t>
  </si>
  <si>
    <t>S007 HUL Reg 30, 2025-01-22 (T1); Entrackr and Inc42 headlines (T3)</t>
  </si>
  <si>
    <t>Pre-money enterprise value of 100%, "subject to adjustments". A valuation, not a payment.</t>
  </si>
  <si>
    <t>₹2,670 Cr</t>
  </si>
  <si>
    <t>S007 (T1); Storyboard18, Angel One (T3)</t>
  </si>
  <si>
    <t>Secondary cash paid to sellers for the 90.5% stake, at announcement.</t>
  </si>
  <si>
    <t>₹2,706.45 Cr (₹2,706,44,95,728)</t>
  </si>
  <si>
    <t>S002 HUL completion letter, 2025-04-21 (T1)</t>
  </si>
  <si>
    <t>Total cash paid at completion for 90.5%: secondary plus the ₹45 Cr primary infusion, after adjustments.</t>
  </si>
  <si>
    <t>₹2,706.44 Cr</t>
  </si>
  <si>
    <t>Angel One, Business Standard (T3)</t>
  </si>
  <si>
    <t>The same completion figure, truncated instead of rounded.</t>
  </si>
  <si>
    <t>Verdict: No real disagreement. These are three different measures (EV, secondary price, total paid), and the press quotes them interchangeably. ₹2,706,44,95,728 = ₹2,706.4495 Cr, which rounds to 2,706.45.</t>
  </si>
  <si>
    <t>Used in tab_a: consideration ₹2,706.45 Cr, stake 90.5%, revenue ₹347 Cr (FY24) → 8.62×. EV cross-check: 2,955 / 347 = 8.5×.</t>
  </si>
  <si>
    <t>2. HUL – OZiva: "the price" depends on the tranche</t>
  </si>
  <si>
    <t>₹264.28 Cr for 51%</t>
  </si>
  <si>
    <t>S008, S005 HUL Reg 30 (T1)</t>
  </si>
  <si>
    <t>First tranche (Jan 2023), primary plus secondary. Implies ~₹518 Cr for 100% (post-money).</t>
  </si>
  <si>
    <t>₹824 Cr for 49%</t>
  </si>
  <si>
    <t>S009, S003 HUL Reg 30, Feb 2026 (T1)</t>
  </si>
  <si>
    <t>Second tranche, priced on "pre-agreed valuation criteria" against FY25 turnover of ₹257.67 Cr. Implies ~₹1,682 Cr for 100%.</t>
  </si>
  <si>
    <t>Verdict: Both are correct. "HUL bought OZiva for ₹264 Cr" misstates the full cost, which was ₹1,088.28 Cr for 100%.</t>
  </si>
  <si>
    <t>Used in tab_a: consideration ₹264.28 Cr, stake 51%, revenue ₹124.17 Cr (FY22) → 4.17×. The second tranche is in notes and status.</t>
  </si>
  <si>
    <t>3. ITC – Mother Sparsh: FY25 turnover restated</t>
  </si>
  <si>
    <t>₹99.6 Cr</t>
  </si>
  <si>
    <t>S021 ITC Reg 30, 2025-05-21 (T1)</t>
  </si>
  <si>
    <t>FY25 turnover as first reported.</t>
  </si>
  <si>
    <t>₹80.9 Cr</t>
  </si>
  <si>
    <t>S032 ITC Reg 30, 2026-05-19 (T1)</t>
  </si>
  <si>
    <t>FY25 turnover restated "on account of reclassification of certain expenses" (some expenses now netted off revenue).</t>
  </si>
  <si>
    <t>Verdict: The later restated figure is authoritative.</t>
  </si>
  <si>
    <t>Used in tab_a: FY25 not used for the multiple. The row uses FY24 ₹58.7 Cr, which is identical in both filings. ₹80.9 Cr is cited in status.</t>
  </si>
  <si>
    <t>4. ITC – Mother Sparsh: FY21 turnover</t>
  </si>
  <si>
    <t>₹15.44 Cr</t>
  </si>
  <si>
    <t>S025 ITC Reg 30, Nov 2021 (T1)</t>
  </si>
  <si>
    <t>FY21 turnover, filed early in FY22 (likely provisional).</t>
  </si>
  <si>
    <t>₹15.57 Cr</t>
  </si>
  <si>
    <t>S028 ITC Reg 30, Oct 2022 (T1)</t>
  </si>
  <si>
    <t>FY21 turnover, filed a year later (likely audited).</t>
  </si>
  <si>
    <t>Verdict: Immaterial (0.8%). The later figure is preferred.</t>
  </si>
  <si>
    <t>Used in tab_a: Not used; FY21 is not the revenue year for this row.</t>
  </si>
  <si>
    <t>5. ITC – Prasuma: which revenue base</t>
  </si>
  <si>
    <t>₹116 Cr (FY24)</t>
  </si>
  <si>
    <t>S023 ITC Reg 30 (T1)</t>
  </si>
  <si>
    <t>Ample Foods Pvt Ltd only, consolidated revenue from operations (includes sales to Meat and Spice).</t>
  </si>
  <si>
    <t>₹131 Cr (FY24)</t>
  </si>
  <si>
    <t>S023 (T1)</t>
  </si>
  <si>
    <t>The whole "Target Business": Ample Foods + Meat and Spice + Chao Chao.</t>
  </si>
  <si>
    <t>Verdict: Use the base that matches the entity in which the stake was bought (Ample Foods). Meat and Spice is bought only in the 2028 tranche.</t>
  </si>
  <si>
    <t>Used in tab_a: ₹131 Cr for 43.75%, revenue ₹116 Cr → 2.58× (2.29× on the ₹131 Cr base). Separately, the memory claim of ~₹375 Cr was wrong (claims_verification_log C007).</t>
  </si>
  <si>
    <t>6. ITC – Yoga Bar: implied valuation by tranche</t>
  </si>
  <si>
    <t>₹175 Cr for 39.42%</t>
  </si>
  <si>
    <t>S015 (T1)</t>
  </si>
  <si>
    <t>First tranche, May 2023, primary plus secondary. Implies ~₹444 Cr for 100%.</t>
  </si>
  <si>
    <t>~₹225 Cr total for 44.74%; ~₹255 Cr total for ~47.50%</t>
  </si>
  <si>
    <t>S016, S017 (T1)</t>
  </si>
  <si>
    <t>Cumulative investment after the two primary-only steps (₹50 Cr, then ₹30 Cr) of the ₹80 Cr pre-agreed in the term sheet. All stakes are "on a fully diluted basis".</t>
  </si>
  <si>
    <t>~₹645 Cr for 52.5%</t>
  </si>
  <si>
    <t>S031 (T1)</t>
  </si>
  <si>
    <t>Final secondary purchase, 2026-09-28: "from ~47.50% to 100%". Implies ~₹1,229 Cr for 100%.</t>
  </si>
  <si>
    <t>Verdict: No disagreement. The value rose roughly 2.8× as turnover went from ₹68 Cr to ₹452 Cr. Control came at about 47.5% via board-nomination rights (S030), so the study's "control taken at sub-50%" is confirmed. Total cost of 100% is about ₹900 Cr.</t>
  </si>
  <si>
    <t>Used in tab_a: consideration ₹175 Cr, stake 39.42%, revenue ₹68 Cr (FY22) → 6.53×.</t>
  </si>
  <si>
    <t>7. Tata Consumer – Capital Foods: headline valuations</t>
  </si>
  <si>
    <t>₹5,100 Cr</t>
  </si>
  <si>
    <t>S036 TCPL Reg 30 (T1)</t>
  </si>
  <si>
    <t>EV, no cash/no debt, for 100%.</t>
  </si>
  <si>
    <t>"₹7,000 Cr"</t>
  </si>
  <si>
    <t>Outlook Business, The Week/PTI (T3)</t>
  </si>
  <si>
    <t>Capital Foods EV + Organic India EV (5,100 + 1,900) added together. Not a price.</t>
  </si>
  <si>
    <t>"₹5,500 Cr"</t>
  </si>
  <si>
    <t>Agro &amp; Food Processing (T3)</t>
  </si>
  <si>
    <t>Valuation reported during talks, before signing.</t>
  </si>
  <si>
    <t>"US$616 mn"</t>
  </si>
  <si>
    <t>Deccan Herald/Reuters headline (T3)</t>
  </si>
  <si>
    <t>The ₹5,100 Cr EV in dollars (~₹83/$).</t>
  </si>
  <si>
    <t>Verdict: T1 EV of ₹5,100 Cr. The equity cash actually paid for 75% is not in the filing (UNCONFIRMED).</t>
  </si>
  <si>
    <t>Used in tab_a: consideration ₹3,825 Cr (derived: 75% × EV, so Low confidence), stake 75%, revenue ₹705.5 Cr (FY23) → 7.23×.</t>
  </si>
  <si>
    <t>8. Marico – Plix: package size</t>
  </si>
  <si>
    <t>Up to ₹369.01 Cr for up to 58%</t>
  </si>
  <si>
    <t>S054 Marico Reg 30, 2023-07-26 (T1)</t>
  </si>
  <si>
    <t>The contracted package at signing.</t>
  </si>
  <si>
    <t>₹380.04 Cr for 60%</t>
  </si>
  <si>
    <t>S056 (T1)</t>
  </si>
  <si>
    <t>The same package plus 2% bought from founders for ₹11.03 Cr (S055).</t>
  </si>
  <si>
    <t>Verdict: Both correct; the second includes an add-on.</t>
  </si>
  <si>
    <t>Used in tab_a: consideration ₹369.01 Cr, stake 58%, revenue ₹106.43 Cr (FY23) → 5.98×.</t>
  </si>
  <si>
    <t>9. Marico – True Elements: "100% for ₹138 Cr"</t>
  </si>
  <si>
    <t>"Marico acquires 100% stake in True Elements for Rs 138 crore"</t>
  </si>
  <si>
    <t>Storyboard18 headline (T3)</t>
  </si>
  <si>
    <t>Conflates the final holding (100%) with the stake bought.</t>
  </si>
  <si>
    <t>Up to ₹138 Cr for the balance 46.02%</t>
  </si>
  <si>
    <t>S052 Marico Reg 30, 2025-09-11 (T1)</t>
  </si>
  <si>
    <t>Price of the remaining stake only.</t>
  </si>
  <si>
    <t>Verdict: The headline is wrong. The first-tranche price for 53.98% (2022) was never disclosed.</t>
  </si>
  <si>
    <t>Used in tab_a: consideration blank (UNCONFIRMED), stake 53.98%, revenue ₹54.3 Cr (FY22). ₹138 Cr appears only in status.</t>
  </si>
  <si>
    <t>10. Marico – Just Herbs: implied valuation, 2021 vs 2024 (both derived)</t>
  </si>
  <si>
    <t>3.48% for ₹9.99 Cr</t>
  </si>
  <si>
    <t>S048 Marico Reg 30, Nov 2022 (T1)</t>
  </si>
  <si>
    <t>Tranche "as per the previously agreed pre-money enterprise valuation". Implies ~₹287 Cr for 100% on 2021 terms.</t>
  </si>
  <si>
    <t>Up to ₹70 Cr for 40%</t>
  </si>
  <si>
    <t>S049 (T1)</t>
  </si>
  <si>
    <t>Final buyout, Sep 2024. Implies ~₹175 Cr for 100%.</t>
  </si>
  <si>
    <t>Verdict: Both arithmetic is ours and the share mix differs, so neither is used as the deal price. The pattern (a lower exit valuation even as turnover rose from ₹35 Cr to ₹96 Cr) is a note, not data.</t>
  </si>
  <si>
    <t>Used in tab_a: consideration blank (UNCONFIRMED), stake 52.38%, revenue ₹17.25 Cr (FY21).</t>
  </si>
  <si>
    <t>11. Dabur – Badshah: revenue multiple</t>
  </si>
  <si>
    <t>"around 4.5x"</t>
  </si>
  <si>
    <t>S065 Dabur Reg 30 (T1)</t>
  </si>
  <si>
    <t>100% EV ₹1,152 Cr ÷ FY23 estimated revenue (implies ~₹256 Cr).</t>
  </si>
  <si>
    <t>6.1×</t>
  </si>
  <si>
    <t>This workbook (derived from S065)</t>
  </si>
  <si>
    <t>₹587.52 Cr equity price for 51% ÷ FY22 actual turnover ₹189.1 Cr.</t>
  </si>
  <si>
    <t>Verdict: Different numerator (EV vs equity price before debt deduction) and different denominator (estimate vs actual). We use actuals for consistency across rows. Dabur's own figure is noted.</t>
  </si>
  <si>
    <t>Used in tab_a: consideration ₹587.52 Cr, stake 51%, revenue ₹189.1 Cr (FY22) → 6.09×.</t>
  </si>
  <si>
    <t>12. GCPL – Muuchstac: FY25 turnover</t>
  </si>
  <si>
    <t>₹87 Cr</t>
  </si>
  <si>
    <t>S071 GCPL Reg 30 (T1)</t>
  </si>
  <si>
    <t>"Audited turnover as per IGAAP" (Indian GAAP), gross.</t>
  </si>
  <si>
    <t>₹60 Cr</t>
  </si>
  <si>
    <t>S071 (T1)</t>
  </si>
  <si>
    <t>"TTM turnover as per IND AS FY 2024-25", net of items Ind AS deducts from revenue (likely trade discounts).</t>
  </si>
  <si>
    <t>Verdict: Both from the same filing; the gap is accounting basis. The audited IGAAP figure is used, with the Ind AS multiple noted. Zydus–Naturell has the same issue: ₹128.89 Cr IGAAP vs ~₹119 Cr Ind AS (S102).</t>
  </si>
  <si>
    <t>Used in tab_a: consideration ₹449 Cr (derived: ₹289 Cr + ~₹160 Cr tranches, Low), revenue ₹87 Cr → 5.16× (7.5× on Ind AS).</t>
  </si>
  <si>
    <t>13. GCPL – Raymond Consumer Care: price</t>
  </si>
  <si>
    <t>₹2,825 Cr</t>
  </si>
  <si>
    <t>S068 GCPL Reg 30 (T1); press (T3)</t>
  </si>
  <si>
    <t>Cost of acquisition including cash acquired with the business.</t>
  </si>
  <si>
    <t>₹2,725 Cr</t>
  </si>
  <si>
    <t>S068 (T1)</t>
  </si>
  <si>
    <t>The same, "ex cash acquisition from RCCL".</t>
  </si>
  <si>
    <t>Verdict: Both are T1. The headline figure is the stated cost of acquisition.</t>
  </si>
  <si>
    <t>Used in tab_a: consideration ₹2,825 Cr, 100% (slump sale), sales ₹622 Cr (FY23) → 4.54× (4.38× ex cash).</t>
  </si>
  <si>
    <t>Not conflicts, but worth knowing (also in claims_verification_log)</t>
  </si>
  <si>
    <t>- Study scaffold, "Marico Cosmix 60% · ₹375 Cr val.": consistent with S059. ₹225.67 Cr for 60% implies ₹376 Cr for 100%, so ₹375 Cr is a valuation, not the consideration.</t>
  </si>
  <si>
    <t>- Memory errors caught by filings: Mother Sparsh (16% for ~₹20 Cr in 2021, not 22% for ₹120 Cr in 2023); Prasuma (₹131 Cr, not ₹375 Cr); Earth Rhythm (18.51%, not 51%); Cosmix (2026, not 2025).</t>
  </si>
  <si>
    <t>Tab B (Build) conflicts</t>
  </si>
  <si>
    <t>Same format. For builds, conflicts are mostly about dates (launch vs relaunch, global vs India) and about what a "size" figure measures (ARR vs GMV vs gross sales vs consumer spend vs revenue). Annual reports (AR) are T1 and are listed by source_id in `data/source_log.csv`.</t>
  </si>
  <si>
    <t>B1. Honasa – The Derma Co: launch month</t>
  </si>
  <si>
    <t>March 2020</t>
  </si>
  <si>
    <t>S163 Honasa AR FY24 p.12 (T1): "Since The Derma Co's launch in March 2020"</t>
  </si>
  <si>
    <t>Launch month as stated in FY24</t>
  </si>
  <si>
    <t>February 2020</t>
  </si>
  <si>
    <t>S165 Honasa AR FY26 p.13 (T1): "The Derma Co, launched in February 2020"</t>
  </si>
  <si>
    <t>Launch month as stated in FY26</t>
  </si>
  <si>
    <t>Verdict: The parent contradicts itself by one month. Both are T1, the year is the same, and the row is unaffected.</t>
  </si>
  <si>
    <t>Used in tab_b: year_start 2020; both quotes in notes.</t>
  </si>
  <si>
    <t>B2. HUL – Love Beauty &amp; Planet: launch year in India</t>
  </si>
  <si>
    <t>FY20 (Apr 2019 – Mar 2020)</t>
  </si>
  <si>
    <t>S128 HUL AR FY20 p.5 (T1): "During the year, we also launched... Love, Beauty and Planet"</t>
  </si>
  <si>
    <t>India launch inside FY20</t>
  </si>
  <si>
    <t>"introduced... in India"</t>
  </si>
  <si>
    <t>S129 HUL AR FY21 p.14 (T1)</t>
  </si>
  <si>
    <t>Repeats the introduction in the FY21 narrative; not a separate launch date</t>
  </si>
  <si>
    <t>2018</t>
  </si>
  <si>
    <t>Search-result snippets (T4)</t>
  </si>
  <si>
    <t>Most likely the 2018 global (US) launch, attributed to India</t>
  </si>
  <si>
    <t>Verdict: The T1 source wins: the India launch was in FY20. The month is unknown, so year_start = 2019 under the FY rule (an FY maps to the calendar year holding 9 of its 12 months), and the brand is a calibration row.</t>
  </si>
  <si>
    <t>Used in tab_b: 2019, calibration.</t>
  </si>
  <si>
    <t>B3. HUL – Lever Ayush: launch year and "withdrawal"</t>
  </si>
  <si>
    <t>2001</t>
  </si>
  <si>
    <t>Case-study write-ups found via search (T4)</t>
  </si>
  <si>
    <t>Launch</t>
  </si>
  <si>
    <t>2002</t>
  </si>
  <si>
    <t>Same family of write-ups (T4): "launched in 2002"</t>
  </si>
  <si>
    <t>Dec 2016 relaunch</t>
  </si>
  <si>
    <t>Case studies / trade sites (T4)</t>
  </si>
  <si>
    <t>Mass relaunch in five southern states</t>
  </si>
  <si>
    <t>"momentum in the focused market - South India"</t>
  </si>
  <si>
    <t>S128/S129 HUL AR FY20–21 (T1)</t>
  </si>
  <si>
    <t>Alive but regional; then 0 AR mentions FY22–FY26</t>
  </si>
  <si>
    <t>Verdict: No primary source for the launch year; 2001 is used and flagged Low. The "2000s pullback" is unsupported beyond T4 and is recorded as UNCONFIRMED.</t>
  </si>
  <si>
    <t>Used in tab_b: 2001 (Low), status Niche.</t>
  </si>
  <si>
    <t>B4. Tata Sampann: "a TCPL launch"</t>
  </si>
  <si>
    <t>Launched by TCPL c.2017</t>
  </si>
  <si>
    <t>AI recall (C045)</t>
  </si>
  <si>
    <t>—</t>
  </si>
  <si>
    <t>Came with "the merger of the Consumer Products business of Tata Chemicals"</t>
  </si>
  <si>
    <t>S149 TCPL AR FY20 p.5 (T1)</t>
  </si>
  <si>
    <t>Built by Tata Chemicals, transferred to TCPL in FY20</t>
  </si>
  <si>
    <t>Verdict: It is not a TCPL in-house build. It is kept as a calibration row (a group build by a listed Tata company), with the launch year UNCONFIRMED.</t>
  </si>
  <si>
    <t>Used in tab_b: calibration; parent field states the origin.</t>
  </si>
  <si>
    <t>B5. "Size" figures are not revenue</t>
  </si>
  <si>
    <t>Brand</t>
  </si>
  <si>
    <t>Source</t>
  </si>
  <si>
    <t>₹750 Cr+</t>
  </si>
  <si>
    <t>S165, S120 (T1)</t>
  </si>
  <si>
    <t>ARR: annualised net revenue run-rate, company-stated</t>
  </si>
  <si>
    <t>₹200 Cr+</t>
  </si>
  <si>
    <t>S165 (T1)</t>
  </si>
  <si>
    <t>ARR</t>
  </si>
  <si>
    <t>Godrej Fab</t>
  </si>
  <si>
    <t>~₹490 Cr</t>
  </si>
  <si>
    <t>GCPL AR FY26 p.42 (T1)</t>
  </si>
  <si>
    <t>ARR; FY25 "topline" &gt;₹150 Cr</t>
  </si>
  <si>
    <t>Kay Beauty / Nykd</t>
  </si>
  <si>
    <t>₹240 Cr / ₹150 Cr+</t>
  </si>
  <si>
    <t>S169 Nykaa AR FY25 (T1)</t>
  </si>
  <si>
    <t>GMV (includes taxes and discounts), not revenue; FY26: Kay Beauty "₹250–350 crores NSV"</t>
  </si>
  <si>
    <t>Campa</t>
  </si>
  <si>
    <t>₹4,700+ Cr</t>
  </si>
  <si>
    <t>S205 RIL AR FY26 p.47 (T1)</t>
  </si>
  <si>
    <t>Gross sales</t>
  </si>
  <si>
    <t>~₹2,600 Cr</t>
  </si>
  <si>
    <t>S205 (T1)</t>
  </si>
  <si>
    <t>"sales", basis unstated</t>
  </si>
  <si>
    <t>Bingo! / YiPPee!</t>
  </si>
  <si>
    <t>~₹2,700 Cr / ~₹1,300 Cr</t>
  </si>
  <si>
    <t>S135 ITC AR FY20 p.10 (T1)</t>
  </si>
  <si>
    <t>Annual consumer spend (retail value), not ITC revenue</t>
  </si>
  <si>
    <t>Tata Sampann</t>
  </si>
  <si>
    <t>₹1,109 Cr</t>
  </si>
  <si>
    <t>S154 TCPL AR FY25 p.42 (T1)</t>
  </si>
  <si>
    <t>Revenue as charted (basis unstated)</t>
  </si>
  <si>
    <t>Godrej Pet Care</t>
  </si>
  <si>
    <t>₹2.22 Cr</t>
  </si>
  <si>
    <t>S073 (T1)</t>
  </si>
  <si>
    <t>Total revenue of the subsidiary (audited)</t>
  </si>
  <si>
    <t>Verdict: These cannot be compared directly. tab_b states the basis on every row (`revenue_basis`). Status calls use a threshold ("Scaled" = a disclosed size of ₹100 Cr or more on any of these bases), not cross-brand rankings.</t>
  </si>
  <si>
    <t>B6. AR silence vs live listing (method conflict)</t>
  </si>
  <si>
    <t>AR signal</t>
  </si>
  <si>
    <t>Listing signal</t>
  </si>
  <si>
    <t>Resolution</t>
  </si>
  <si>
    <t>0 mentions in TCPL AR FY26; dropped from brand list (S155)</t>
  </si>
  <si>
    <t>tatagofit.com live; Wayback live to 2026-03 (S206)</t>
  </si>
  <si>
    <t>Niche, not Withdrawn: first coded Withdrawn from AR silence alone, then corrected</t>
  </si>
  <si>
    <t>22 (FY23) → 1 → 1 → 0 mentions</t>
  </si>
  <si>
    <t>Standalone store redirects to a corporate brand page (S206)</t>
  </si>
  <si>
    <t>0 mentions FY24–FY26</t>
  </si>
  <si>
    <t>Site live to 2025-07, dead on 2026-10-10 (S206)</t>
  </si>
  <si>
    <t>Withdrawn (Low): it outlived its AR coverage by ~2 years</t>
  </si>
  <si>
    <t>Explicit exit (Dabur AR FY25 p.25, FY26 p.85)</t>
  </si>
  <si>
    <t>dabur.com brand page still resolves (S206)</t>
  </si>
  <si>
    <t>Withdrawn: the parent's own exit statement outranks a residual web page</t>
  </si>
  <si>
    <t>Verdict: Disappearing from an annual report means a brand has been de-prioritised, not that it is dead. A Withdrawn call needs either a parent statement (Dabur Vita) or a dead store (Acne Squad, Find Your Happy Place, Ayuga).</t>
  </si>
  <si>
    <t>Part 1 model: Minimalist FY22 revenue</t>
  </si>
  <si>
    <t>₹103 Cr</t>
  </si>
  <si>
    <t>S007 HUL Reg 30, 2025-01-22 (T1)</t>
  </si>
  <si>
    <t>FY22 "turnover of the Business"</t>
  </si>
  <si>
    <t>₹108 Cr</t>
  </si>
  <si>
    <t>S208 Entrackr (T3, search snippet of FY23 story)</t>
  </si>
  <si>
    <t>FY22 "revenue from operations" from RoC filings</t>
  </si>
  <si>
    <t>Verdict: Small gap, likely basis (turnover vs. revenue from operations, or standalone vs. consolidated). Not a model input; ramp uses FY24 ₹347 Cr (both agree). Used: ₹103 Cr (T1).</t>
  </si>
  <si>
    <t>Part 1 model: cost of the remaining 9.5% of Minimalist</t>
  </si>
  <si>
    <t>₹284 Cr</t>
  </si>
  <si>
    <t>Derived: 2,706.45 / 90.5 × 9.5 (S002, T1)</t>
  </si>
  <si>
    <t>Pro-rata at the completion price; ignores growth</t>
  </si>
  <si>
    <t>₹501 Cr</t>
  </si>
  <si>
    <t>S134 HUL AR FY26 Note 43(C) (T1)</t>
  </si>
  <si>
    <t>PV of the forward rights (symmetric put/call) on the 9.5% NCI at acquisition date, via Other Equity</t>
  </si>
  <si>
    <t>Verdict: ₹501 Cr is HUL's own accounting estimate; the pro-rata figure understates it. Used: base ₹501 Cr, low ₹284 Cr (assumption A20).</t>
  </si>
  <si>
    <t>Part 1 model: Minimalist pro-forma FY26 revenue in HUL AR</t>
  </si>
  <si>
    <t>₹652 Cr</t>
  </si>
  <si>
    <t>S134 Note 43(I) (T1)</t>
  </si>
  <si>
    <t>USPL revenue contributed 21 Apr 2025–31 Mar 2026</t>
  </si>
  <si>
    <t>₹89 Cr</t>
  </si>
  <si>
    <t>"If the combination had taken place at the beginning of the year, revenue ... would have been H89 crores" — cannot be full-year revenue; most likely the incremental 1–20 Apr revenue or a drafting error</t>
  </si>
  <si>
    <t>Verdict: ₹89 Cr not used. Used: ₹652 Cr, annualised ₹690 Cr (A18).</t>
  </si>
  <si>
    <t>Heads Up For Tails revenue (Part 4)</t>
  </si>
  <si>
    <t>- Rs 312.8 Cr FY23 revenue from operations (Entrackr, S215).</t>
  </si>
  <si>
    <t>- Rs 199.1 Cr FY24 / Rs 236.8 Cr FY25 for Earth Paws Pvt Ltd (Inc42 data page, S216) - appears to be a narrower entity scope, so not comparable with S215.</t>
  </si>
  <si>
    <t>- Rs 400 Cr ARR, company-stated run rate, Dec 2025 (Entrackr, S214) - not audited revenue.</t>
  </si>
  <si>
    <t>- Resolution: Part 4 prices HUFT on a Rs 240-400 Cr revenue band (FY25 entity figure to stated ARR); Low confidence.</t>
  </si>
  <si>
    <t>Drools revenue and valuation (Part 4)</t>
  </si>
  <si>
    <t>- Rs 714.90 Cr FY24 revenue from operations (Entrackr, S211). Rs 686.4 Cr in 9M FY25 (ICRA, S210), ~Rs 915 Cr annualised. FY25 full year UNCONFIRMED (a search summary said Rs 918 Cr; not found in any page - C071).</t>
  </si>
  <si>
    <t>- $600M valuation (June 2023, L Catterton, ~10%, S211) vs 'unicorn' (&gt;= $1bn) claimed after Nestle's undisclosed minority stake (May 2025, S211) - a company claim, terms undisclosed.</t>
  </si>
  <si>
    <t>claim_id</t>
  </si>
  <si>
    <t>item</t>
  </si>
  <si>
    <t>value_recalled</t>
  </si>
  <si>
    <t>value_verified</t>
  </si>
  <si>
    <t>match</t>
  </si>
  <si>
    <t>how_caught</t>
  </si>
  <si>
    <t>C001</t>
  </si>
  <si>
    <t>HUL-Minimalist deal</t>
  </si>
  <si>
    <t>HUL acquired ~90.5% of Minimalist for ~Rs 2,955 Cr (completed 2025); Minimalist FY24 turnover ~Rs 347 Cr</t>
  </si>
  <si>
    <t>90.5% for INR 2,670 Cr secondary at pre-money EV INR 2,955 Cr + INR 45 Cr primary; completion total INR 2,706.45 Cr (INR 2,706,44,95,728; 2025-04-21); FY24 turnover INR 347 Cr</t>
  </si>
  <si>
    <t>S007;S002</t>
  </si>
  <si>
    <t>Partial</t>
  </si>
  <si>
    <t>Reg 30 filing: recalled 'Rs 2,955 Cr' is the pre-money EV, not the price paid; stake and FY24 turnover correct</t>
  </si>
  <si>
    <t>C002</t>
  </si>
  <si>
    <t>HUL-OZiva deal</t>
  </si>
  <si>
    <t>HUL acquired 51% of OZiva for ~Rs 264 Cr (2022)</t>
  </si>
  <si>
    <t>51% for INR 264.28 Cr (first tranche, completed 2023-01-11)</t>
  </si>
  <si>
    <t>S008;S005</t>
  </si>
  <si>
    <t>Y</t>
  </si>
  <si>
    <t>Reg 30 filing; recall omitted the contracted 49% second tranche (bought 2026 for INR 824 Cr)</t>
  </si>
  <si>
    <t>C003</t>
  </si>
  <si>
    <t>HUL-Wellbeing Nutrition deal</t>
  </si>
  <si>
    <t>HUL acquired 19.8% of Wellbeing Nutrition for ~Rs 70 Cr (2022)</t>
  </si>
  <si>
    <t>19.8% for INR 70.00 Cr (completed 2023-01-04)</t>
  </si>
  <si>
    <t>S001;S012</t>
  </si>
  <si>
    <t>Reg 30 filing; recall missed that HUL SOLD the stake for ~INR 307 Cr in Mar 2026</t>
  </si>
  <si>
    <t>C004</t>
  </si>
  <si>
    <t>ITC-Yoga Bar deal</t>
  </si>
  <si>
    <t>ITC acquired 39.4% of Sproutlife (Yoga Bar) for ~Rs 175 Cr, path to 100% (2023)</t>
  </si>
  <si>
    <t>39.42% for Rs 175 Cr (2023-05-04); path to 100% completed 2026-09-28 (further ~Rs 645 Cr)</t>
  </si>
  <si>
    <t>S015;S031</t>
  </si>
  <si>
    <t>Reg 30 filings; stake and price correct</t>
  </si>
  <si>
    <t>C005</t>
  </si>
  <si>
    <t>ITC-Mother Sparsh deal</t>
  </si>
  <si>
    <t>ITC acquired 22% of Mother Sparsh for ~Rs 120 Cr (2023)</t>
  </si>
  <si>
    <t>First entry 16% for ~Rs 20 Cr (2021-11); 22% reached 2022-10 (~Rs 13.5 Cr more); 26.5% 2023-06; control deal 2025-04; total ~Rs 126 Cr for 49.3%</t>
  </si>
  <si>
    <t>S025;S028;S020</t>
  </si>
  <si>
    <t>N</t>
  </si>
  <si>
    <t>Reg 30 filings: recall had wrong year (2023 vs 2021), wrong stake (22% vs 16%) and wrong amount (Rs 120 Cr vs ~Rs 20 Cr); 120 Cr is close to the cumulative ~126 Cr investment up to 49.3%</t>
  </si>
  <si>
    <t>C006</t>
  </si>
  <si>
    <t>ITC-24 Mantra deal</t>
  </si>
  <si>
    <t>ITC acquired 100% of Sresta Natural Bioproducts (24 Mantra Organic) for ~Rs 472.5 Cr (2025)</t>
  </si>
  <si>
    <t>100% for up to Rs 472.50 Cr (Rs 400 Cr upfront + up to Rs 72.50 Cr in 24 months), completed 2025-06-13</t>
  </si>
  <si>
    <t>S020;S022</t>
  </si>
  <si>
    <t>Reg 30 filing; recall omitted the upfront/deferred split</t>
  </si>
  <si>
    <t>C007</t>
  </si>
  <si>
    <t>ITC-Prasuma deal</t>
  </si>
  <si>
    <t>ITC acquired 43.8% of Prasuma for ~Rs 375 Cr (2025)</t>
  </si>
  <si>
    <t>43.75% of Ample Foods for ~Rs 131 Cr (2025-04-04)</t>
  </si>
  <si>
    <t>Reg 30 filing: recall said ~Rs 375 Cr; actual first tranche ~Rs 131 Cr. Stake roughly right (43.8%)</t>
  </si>
  <si>
    <t>C008</t>
  </si>
  <si>
    <t>Tata Consumer-Soulfull deal</t>
  </si>
  <si>
    <t>Tata Consumer acquired 100% of Kottaram Agro (Soulfull) for ~Rs 156 Cr (2021)</t>
  </si>
  <si>
    <t>100% for INR 155.8 Cr + contingent consideration over 5 years; completed 2021-02-20</t>
  </si>
  <si>
    <t>S034;S035</t>
  </si>
  <si>
    <t>Reg 30 filing; recall omitted the contingent earn-out</t>
  </si>
  <si>
    <t>C009</t>
  </si>
  <si>
    <t>Tata Consumer-Capital Foods deal</t>
  </si>
  <si>
    <t>Tata Consumer acquired 100% of Capital Foods (Ching's/Smith &amp; Jones) at EV ~Rs 5,100 Cr (75% upfront, 2024)</t>
  </si>
  <si>
    <t>EV INR 5,100 Cr for 100%; 75% acquired 2024-02-01; now 80% (2026-09-01), 20% outstanding</t>
  </si>
  <si>
    <t>S036;S037;S038</t>
  </si>
  <si>
    <t>Reg 30 filing; recall's '75% upfront' right; did not know the 2026 top-up</t>
  </si>
  <si>
    <t>C010</t>
  </si>
  <si>
    <t>Tata Consumer-Organic India deal</t>
  </si>
  <si>
    <t>Tata Consumer acquired 100% of Organic India at EV ~Rs 1,900 Cr (2024)</t>
  </si>
  <si>
    <t>EV INR 1,900 Cr for 100% + earn-out linked to FY26; 99.99% on 2024-04-16; 100% on 2024-12-13</t>
  </si>
  <si>
    <t>Reg 30 filing; recall omitted the earn-out</t>
  </si>
  <si>
    <t>C011</t>
  </si>
  <si>
    <t>Marico-Just Herbs deal</t>
  </si>
  <si>
    <t>Marico acquired 60% of Just Herbs (2022), ~Rs 32 Cr</t>
  </si>
  <si>
    <t>52.38% in Jul 2021 (consideration undisclosed); 60% by Nov 2022; 100% Sep 2024</t>
  </si>
  <si>
    <t>S046;S048;S050</t>
  </si>
  <si>
    <t>Reg 30 filing: year wrong (2021 not 2022); recalled '~Rs 32 Cr' has no source; price was never disclosed</t>
  </si>
  <si>
    <t>C012</t>
  </si>
  <si>
    <t>Marico-True Elements deal</t>
  </si>
  <si>
    <t>Marico acquired 54% of HW Wellness (True Elements) (2022)</t>
  </si>
  <si>
    <t>53.98% on 2022-05-23 (consideration undisclosed); 100% on 2025-10-17</t>
  </si>
  <si>
    <t>S051;S053</t>
  </si>
  <si>
    <t>Reg 30 filing; recall's '54%' and 2022 correct</t>
  </si>
  <si>
    <t>C013</t>
  </si>
  <si>
    <t>Marico-Plix deal</t>
  </si>
  <si>
    <t>Marico acquired 58% of Plix (Vegfru) (2023), ~Rs 370 Cr</t>
  </si>
  <si>
    <t>Agreement 2023-07-26 for up to 58% at up to Rs 369.01 Cr; first tranche 32.75%; 84.09% by 2026-10-05</t>
  </si>
  <si>
    <t>S054;S058</t>
  </si>
  <si>
    <t>Reg 30 filing: '58% for ~Rs 370 Cr' right as the package; first tranche was 32.75%, so 'acquired 58%' in 2023 is wrong</t>
  </si>
  <si>
    <t>C014</t>
  </si>
  <si>
    <t>Marico-Cosmix deal</t>
  </si>
  <si>
    <t>Marico acquired 60% of Cosmix for ~Rs 226 Cr (2025)</t>
  </si>
  <si>
    <t>60% for Rs 225.67 Cr, completed 2026-02-05</t>
  </si>
  <si>
    <t>Reg 30 filing: amount and stake right; year wrong (2026, not 2025)</t>
  </si>
  <si>
    <t>C015</t>
  </si>
  <si>
    <t>Marico-Beardo stake increase</t>
  </si>
  <si>
    <t>Marico raised its stake in Beardo (Zed Lifestyle) to 100% around 2020-21</t>
  </si>
  <si>
    <t>Balance 55% acquired 2020-06-30 taking Marico to 100% (from 45% held since 2017); price undisclosed</t>
  </si>
  <si>
    <t>Reg 30 filing; recall said 'around 2020-21', confirmed 2020-06-30</t>
  </si>
  <si>
    <t>C016</t>
  </si>
  <si>
    <t>Dabur-Badshah deal</t>
  </si>
  <si>
    <t>Dabur acquired 51% of Badshah Masala for ~Rs 588 Cr at EV ~Rs 1,152 Cr (2022)</t>
  </si>
  <si>
    <t>51% on 2023-01-02 for INR 587.52 Cr less proportionate debt; 100% EV INR 1,152 Cr; balance 49% after 5 years</t>
  </si>
  <si>
    <t>S065;S066</t>
  </si>
  <si>
    <t>Reg 30 filing: amounts right; year wrong (completed 2023, announced 2022)</t>
  </si>
  <si>
    <t>C017</t>
  </si>
  <si>
    <t>Emami-The Man Company</t>
  </si>
  <si>
    <t>Emami raised its stake in The Man Company to 100% (2024)</t>
  </si>
  <si>
    <t>Balance 49.60% of Helios for Rs 177.63 Cr; 100% on 2024-11-21</t>
  </si>
  <si>
    <t>S091;S092</t>
  </si>
  <si>
    <t>Reg 30 filing; recall's '100% in 2024' right</t>
  </si>
  <si>
    <t>C018</t>
  </si>
  <si>
    <t>Emami-Brillare deal</t>
  </si>
  <si>
    <t>Emami acquired a stake in Brillare Science (2022)</t>
  </si>
  <si>
    <t>Control 2021-10-01 (34.70% -&gt; 57.36% via CCPS conversion); 100% 2024-03-27; prices undisclosed</t>
  </si>
  <si>
    <t>S094;S095</t>
  </si>
  <si>
    <t>Reg 30 filing: recall said 2022 and 'a stake'; control came in Oct 2021</t>
  </si>
  <si>
    <t>C019</t>
  </si>
  <si>
    <t>GCPL-Raymond Consumer Care deal</t>
  </si>
  <si>
    <t>GCPL acquired Raymond's FMCG business (Park Avenue, KamaSutra) for Rs 2,825 Cr (2023)</t>
  </si>
  <si>
    <t>FMCG business (Park Avenue, KamaSutra) by slump sale for Rs 2,825 Cr (Rs 2,725 Cr ex cash), completed 2023-05-08</t>
  </si>
  <si>
    <t>Reg 30 filing</t>
  </si>
  <si>
    <t>C020</t>
  </si>
  <si>
    <t>Honasa-Dr. Sheth's deal</t>
  </si>
  <si>
    <t>Honasa acquired Dr. Sheth's (Fusion Cosmeceutics) (2022)</t>
  </si>
  <si>
    <t>NOT VERIFIED - excluded: Honasa listed only in Nov 2023, so its 2022 Dr. Sheth's deal was by an unlisted company</t>
  </si>
  <si>
    <t>Rejected</t>
  </si>
  <si>
    <t>Scope rule (listed parent at deal time); BSE scan of Honasa from listing found BTM Ventures (Reginald Men) 2025-26 instead, added as a row</t>
  </si>
  <si>
    <t>C021</t>
  </si>
  <si>
    <t>Honasa-BBlunt deal</t>
  </si>
  <si>
    <t>Honasa acquired BBlunt from Godrej Consumer (2022)</t>
  </si>
  <si>
    <t>NOT VERIFIED - excluded: Honasa unlisted at the 2022 BBlunt deal</t>
  </si>
  <si>
    <t>Scope rule; not researched further</t>
  </si>
  <si>
    <t>C022</t>
  </si>
  <si>
    <t>Nykaa-Dot &amp; Key deal</t>
  </si>
  <si>
    <t>Nykaa acquired 51% of Dot &amp; Key for ~Rs 100 Cr (2021)</t>
  </si>
  <si>
    <t>51% on ~2021-09-28 (pre-IPO; price undisclosed in press); 90% on 2024-09-20 for up to Rs 265.3 Cr</t>
  </si>
  <si>
    <t>Reg 30 2024 filing + press: '51% (2021)' right; '~Rs 100 Cr' unverified (only a search snippet citing the RHP)</t>
  </si>
  <si>
    <t>C023</t>
  </si>
  <si>
    <t>Nykaa-Earth Rhythm deal</t>
  </si>
  <si>
    <t>Nykaa acquired 51% of Earth Rhythm (2022)</t>
  </si>
  <si>
    <t>18.51% for Rs 41.65 Cr (2022); subsidiary ~75.83% only after 2024-25 tranches</t>
  </si>
  <si>
    <t>S077;S082</t>
  </si>
  <si>
    <t>Reg 30 filing: recall said 51% in 2022; actual first stake 18.51%</t>
  </si>
  <si>
    <t>C024</t>
  </si>
  <si>
    <t>Reliance Consumer Products deals</t>
  </si>
  <si>
    <t>RCPL acquired Campa (Pure Drinks, ~Rs 22 Cr), Velvette (Sosyo Hajoori 50%), Lotus Chocolate (51%) in 2022-23</t>
  </si>
  <si>
    <t>Campa: ~Rs 22 Cr per unnamed sources (2022); Sosyo: 50% (Jan 2023, price undisclosed); Lotus Chocolate: 51% for Rs 74.00 Cr + 26% open offer at Rs 115.50 (SPA 2022-12-29); Velvette: not researched</t>
  </si>
  <si>
    <t>S110;S112;S114</t>
  </si>
  <si>
    <t>Lotus via target's SAST filings (T1); Campa only via press citing 'sources'; Sosyo stake confirmed, price undisclosed; Velvette dropped (time box)</t>
  </si>
  <si>
    <t>C025</t>
  </si>
  <si>
    <t>ITC had no baby-care brand before Mother Sparsh</t>
  </si>
  <si>
    <t>ITC personal care = adult soaps, fragrances, skincare (Fiama, Savlon, Engage, Dermafique)</t>
  </si>
  <si>
    <t>Unverified</t>
  </si>
  <si>
    <t>Used only to support a vocab_rationale; marked INFERRED in tab_a. Verify against the parent's annual report brand list before relying on it in the memo</t>
  </si>
  <si>
    <t>C026</t>
  </si>
  <si>
    <t>Marico had men's styling before Beardo</t>
  </si>
  <si>
    <t>Set Wet, Parachute Advansed Men</t>
  </si>
  <si>
    <t>C027</t>
  </si>
  <si>
    <t>Marico had a breakfast brand before True Elements</t>
  </si>
  <si>
    <t>Saffola Oats</t>
  </si>
  <si>
    <t>C028</t>
  </si>
  <si>
    <t>Marico had no material H&amp;W supplements revenue before Plix</t>
  </si>
  <si>
    <t>Saffola wellness extensions were small</t>
  </si>
  <si>
    <t>C029</t>
  </si>
  <si>
    <t>GCPL had a small deodorant presence before Raymond Consumer Care</t>
  </si>
  <si>
    <t>Cinthol deo</t>
  </si>
  <si>
    <t>C030</t>
  </si>
  <si>
    <t>Emami had men's products before The Man Company</t>
  </si>
  <si>
    <t>Fair and Handsome</t>
  </si>
  <si>
    <t>C031</t>
  </si>
  <si>
    <t>Bajaj Consumer's sales skew north/west (motive for Banjara's)</t>
  </si>
  <si>
    <t>Almond Drops is north/west-heavy</t>
  </si>
  <si>
    <t>C032</t>
  </si>
  <si>
    <t>Honasa had no dedicated men's brand before Reginald Men</t>
  </si>
  <si>
    <t>Portfolio: Mamaearth, The Derma Co, Aqualogica, BBlunt, Dr. Sheth's</t>
  </si>
  <si>
    <t>C033</t>
  </si>
  <si>
    <t>Dabur had no branded spices before Badshah</t>
  </si>
  <si>
    <t>No Dabur masala brand</t>
  </si>
  <si>
    <t>C034</t>
  </si>
  <si>
    <t>Lever Ayush launch year (HUL)</t>
  </si>
  <si>
    <t>UNCONFIRMED: secondary sources split 2001 vs 2002; no HUL primary found</t>
  </si>
  <si>
    <t>Search: T4 case studies disagree with each other; logged in conflicts.md</t>
  </si>
  <si>
    <t>C035</t>
  </si>
  <si>
    <t>Lever Ayush pullback/withdrawal</t>
  </si>
  <si>
    <t>c.2007-08 withdrawn from most markets</t>
  </si>
  <si>
    <t>UNCONFIRMED: only T4 reports that HUL 'may pull out the brand'</t>
  </si>
  <si>
    <t>No primary evidence of a formal withdrawal; HUL AR FY20-21 shows it alive as a South-India brand</t>
  </si>
  <si>
    <t>C036</t>
  </si>
  <si>
    <t>Lever Ayush relaunch</t>
  </si>
  <si>
    <t>2017 relaunch (announced late 2016)</t>
  </si>
  <si>
    <t>Relaunch Dec 2016 (~20 products, Rs 30-130, five southern states) per T4 case studies</t>
  </si>
  <si>
    <t>Search: relaunch was Dec 2016, not 2017; T4 only</t>
  </si>
  <si>
    <t>C037</t>
  </si>
  <si>
    <t>Love Beauty &amp; Planet India launch</t>
  </si>
  <si>
    <t>Launched in India during FY20 (Apr 2019-Mar 2020)</t>
  </si>
  <si>
    <t>HUL AR FY20 p.5 'During the year, we also launched... Love, Beauty and Planet'; search snippets saying 2018 conflate the 2018 global launch</t>
  </si>
  <si>
    <t>C038</t>
  </si>
  <si>
    <t>ITC Fabelle launch year</t>
  </si>
  <si>
    <t>April 2016 per secondary sources</t>
  </si>
  <si>
    <t>Only T4 search snippets; ITC primary not checked</t>
  </si>
  <si>
    <t>C039</t>
  </si>
  <si>
    <t>ITC Bingo! launch year</t>
  </si>
  <si>
    <t>2007 per secondary sources</t>
  </si>
  <si>
    <t>C040</t>
  </si>
  <si>
    <t>ITC Sunfeast Yippee! launch year</t>
  </si>
  <si>
    <t>2010 per secondary sources</t>
  </si>
  <si>
    <t>C041</t>
  </si>
  <si>
    <t>ITC Sunfeast Farmlite launch year</t>
  </si>
  <si>
    <t>NOT RESEARCHED: Farmlite dropped from scope (time box)</t>
  </si>
  <si>
    <t>Not checked</t>
  </si>
  <si>
    <t>C042</t>
  </si>
  <si>
    <t>Marico Saffola Immuniveda launch</t>
  </si>
  <si>
    <t>2020 (Covid immunity kadha/chyawanprash range)</t>
  </si>
  <si>
    <t>Launched 2020-09-16</t>
  </si>
  <si>
    <t>Marico press release (T1)</t>
  </si>
  <si>
    <t>C043</t>
  </si>
  <si>
    <t>Marico Saffola Fittify launch</t>
  </si>
  <si>
    <t>Saffola FITTIFY Gourmet already in Marico's FY20 AR brand table and called existing in the Sep 2020 Immuniveda release; launch before Apr 2020, exact date UNCONFIRMED</t>
  </si>
  <si>
    <t>S142;S118</t>
  </si>
  <si>
    <t>AR mention tracker: brand present in the FY20 report, so '2020 launch' is wrong or at best borderline</t>
  </si>
  <si>
    <t>C044</t>
  </si>
  <si>
    <t>Marico Coco Soul launch</t>
  </si>
  <si>
    <t>Present in Marico FY20 AR brand table (pre-2020); launch year not verified</t>
  </si>
  <si>
    <t>Not a Tab B row; not researched further</t>
  </si>
  <si>
    <t>C045</t>
  </si>
  <si>
    <t>Tata Sampann launch</t>
  </si>
  <si>
    <t>Built by Tata Chemicals Ltd, merged into TCPL in FY20; launch year UNCONFIRMED</t>
  </si>
  <si>
    <t>TCPL AR FY20 p.5: Sampann came with the merger of Tata Chemicals' consumer business - not a TCPL build</t>
  </si>
  <si>
    <t>C046</t>
  </si>
  <si>
    <t>Tata Simply Better launch</t>
  </si>
  <si>
    <t>Launched FY23 (2022-23) as plant-based meat; cold-pressed oils added FY24</t>
  </si>
  <si>
    <t>S152;S153</t>
  </si>
  <si>
    <t>TCPL ARs: year wrong (2022 not 2021) and the recall missed that the brand started as plant-based meat and pivoted</t>
  </si>
  <si>
    <t>C047</t>
  </si>
  <si>
    <t>Godrej Protekt launch</t>
  </si>
  <si>
    <t>2020 (hygiene range; later wound down)</t>
  </si>
  <si>
    <t>Protekt Mr. Magic launched FY19 (2018-19); Protekt in FY20 AR before Covid; domain captured from 2009; 2020 was a Covid range expansion</t>
  </si>
  <si>
    <t>S127;S156;S207</t>
  </si>
  <si>
    <t>GCPL AR FY19 p.151 + Wayback: the brand predates 2020; recall confused the Jul 2020 expansion with the launch</t>
  </si>
  <si>
    <t>C048</t>
  </si>
  <si>
    <t>Honasa The Derma Co launch</t>
  </si>
  <si>
    <t>Launched Feb or Mar 2020 (Honasa ARs disagree on month)</t>
  </si>
  <si>
    <t>S163;S165</t>
  </si>
  <si>
    <t>Honasa ARs; month conflict logged</t>
  </si>
  <si>
    <t>C049</t>
  </si>
  <si>
    <t>Honasa Aqualogica launch</t>
  </si>
  <si>
    <t>Launched 2021</t>
  </si>
  <si>
    <t>Honasa AR FY24 p.7</t>
  </si>
  <si>
    <t>C050</t>
  </si>
  <si>
    <t>Dr. Sheth's built or bought by Honasa</t>
  </si>
  <si>
    <t>Bought (acquired 2022)</t>
  </si>
  <si>
    <t>Bought: Honasa's '1st Major Acquisitions: BBLUNT + Dr. Sheth's' (2022)</t>
  </si>
  <si>
    <t>Honasa AR FY24 p.17 ('Scaling 30x+ in 25 Months Since Acquisition') and FY26 p.8 timeline</t>
  </si>
  <si>
    <t>C051</t>
  </si>
  <si>
    <t>Honasa Ayuga</t>
  </si>
  <si>
    <t>In-house ayurveda brand launched c.2021-22; underperformer</t>
  </si>
  <si>
    <t>In-house; live c.2021-11 to 2025-10; dropped from FY26 AR; store now unavailable</t>
  </si>
  <si>
    <t>S163;S165;S125</t>
  </si>
  <si>
    <t>AR mention tracker + Wayback + live check</t>
  </si>
  <si>
    <t>C052</t>
  </si>
  <si>
    <t>Nykaa Kay Beauty launch</t>
  </si>
  <si>
    <t>2019 (with Katrina Kaif)</t>
  </si>
  <si>
    <t>Launched FY20 (Apr 2019-Mar 2020)</t>
  </si>
  <si>
    <t>Nykaa AR FY24 p.18</t>
  </si>
  <si>
    <t>C053</t>
  </si>
  <si>
    <t>Nykaa Nykd launch</t>
  </si>
  <si>
    <t>2019-20</t>
  </si>
  <si>
    <t>Launched 2020</t>
  </si>
  <si>
    <t>S168;S170</t>
  </si>
  <si>
    <t>Nykaa AR FY24 p.67 / FY26 p.87: 2020 (not 2019)</t>
  </si>
  <si>
    <t>C054</t>
  </si>
  <si>
    <t>Nykaa Cosmetics launch</t>
  </si>
  <si>
    <t>NOT RESEARCHED: Nykaa Cosmetics not a Tab B row</t>
  </si>
  <si>
    <t>C055</t>
  </si>
  <si>
    <t>Dabur Vita launch</t>
  </si>
  <si>
    <t>2021 (health food drink)</t>
  </si>
  <si>
    <t>Launched 2021-12-30; EXITED (announced in FY25 AR)</t>
  </si>
  <si>
    <t>S117;S176</t>
  </si>
  <si>
    <t>Dabur press release; recall had the launch right but did not know Dabur later exited the brand</t>
  </si>
  <si>
    <t>C056</t>
  </si>
  <si>
    <t>Campa relaunch date</t>
  </si>
  <si>
    <t>2023-03</t>
  </si>
  <si>
    <t>Relaunched in FY23 (RIL AR FY23 p.77); month UNCONFIRMED by primary source</t>
  </si>
  <si>
    <t>RIL AR confirms FY23 only</t>
  </si>
  <si>
    <t>C057</t>
  </si>
  <si>
    <t>RCPL Independence launch</t>
  </si>
  <si>
    <t>2022 (Gujarat; staples)</t>
  </si>
  <si>
    <t>Launched 2022-12-15 in Gujarat</t>
  </si>
  <si>
    <t>RRVL media release (T1)</t>
  </si>
  <si>
    <t>C058</t>
  </si>
  <si>
    <t>Honasa Staze launch</t>
  </si>
  <si>
    <t>Launched 2024-03-28</t>
  </si>
  <si>
    <t>Honasa Reg 30 press release (T1)</t>
  </si>
  <si>
    <t>C059</t>
  </si>
  <si>
    <t>Godrej Pet Care FY26 revenue (lead from user note)</t>
  </si>
  <si>
    <t>INR 2.22 Cr</t>
  </si>
  <si>
    <t>Rs 222.1 lakh = Rs 2.22 Cr total revenue FY26 (FY25 Rs 0.46 Cr, FY24 Rs 0.73 Cr)</t>
  </si>
  <si>
    <t>GCPL Reg 30 filing</t>
  </si>
  <si>
    <t>C060</t>
  </si>
  <si>
    <t>Minimalist FY24 profit (Part 1 benchmark)</t>
  </si>
  <si>
    <t>~Rs 11 Cr</t>
  </si>
  <si>
    <t>Rs 10.83 Cr</t>
  </si>
  <si>
    <t>Entrackr RoC-based report (T3); used only as context</t>
  </si>
  <si>
    <t>C061</t>
  </si>
  <si>
    <t>Minimalist A&amp;P intensity (Part 1 benchmark)</t>
  </si>
  <si>
    <t>~one-third of revenue</t>
  </si>
  <si>
    <t>Rs 117 Cr / Rs 347 Cr = 34% FY24; Rs 154 Cr / Rs 514.8 Cr = 30% FY25</t>
  </si>
  <si>
    <t>S208;S209</t>
  </si>
  <si>
    <t>Entrackr (T3); cross-checked against Honasa 34.4% FY24 (S163 T1)</t>
  </si>
  <si>
    <t>C062</t>
  </si>
  <si>
    <t>The Derma Co ramp (Part 1 benchmark)</t>
  </si>
  <si>
    <t>~Rs 500 Cr in ~4 years</t>
  </si>
  <si>
    <t>'Rs 500 Cr+ Net ARR ... within 50 Months of Launch' (ARR not audited revenue)</t>
  </si>
  <si>
    <t>Honasa AR FY24 PDF p.17 (T1); recall omitted that it is ARR</t>
  </si>
  <si>
    <t>C063</t>
  </si>
  <si>
    <t>Honasa A&amp;P % (Part 1 benchmark)</t>
  </si>
  <si>
    <t>~35% of revenue</t>
  </si>
  <si>
    <t>34.4% FY24; 35.5% FY23</t>
  </si>
  <si>
    <t>Honasa AR FY24 PDF p.37 (T1)</t>
  </si>
  <si>
    <t>C064</t>
  </si>
  <si>
    <t>HUL discount rate (Part 1)</t>
  </si>
  <si>
    <t>~12% WACC</t>
  </si>
  <si>
    <t>10.1% post-tax WACC (FY26); 11.3% (FY25)</t>
  </si>
  <si>
    <t>HUL AR FY26 goodwill impairment table PDF p.149 (T1); recall overstated by ~1-2 pts</t>
  </si>
  <si>
    <t>C065</t>
  </si>
  <si>
    <t>Cost of HUL's remaining 9.5% of Minimalist (Part 1)</t>
  </si>
  <si>
    <t>~Rs 284 Cr (9.5% pro rata at the 90.5% price)</t>
  </si>
  <si>
    <t>Rs 501 Cr PV of forward rights recognised by HUL</t>
  </si>
  <si>
    <t>HUL AR FY26 Note 43(C) (T1); pro-rata recall understated the buy-side cost by ~Rs 217 Cr</t>
  </si>
  <si>
    <t>C066</t>
  </si>
  <si>
    <t>HUL gross margin (Part 1)</t>
  </si>
  <si>
    <t>~50%</t>
  </si>
  <si>
    <t>50.3% FY26</t>
  </si>
  <si>
    <t>HUL AR FY26 PDF p.44 (T1)</t>
  </si>
  <si>
    <t>C067</t>
  </si>
  <si>
    <t>Minimalist founding year (Part 1 ramp)</t>
  </si>
  <si>
    <t>'Founded in 2020'</t>
  </si>
  <si>
    <t>HUL Reg 30 filing (T1)</t>
  </si>
  <si>
    <t>C068</t>
  </si>
  <si>
    <t>Minimalist FY26 revenue under HUL (Part 1)</t>
  </si>
  <si>
    <t>~Rs 600 Cr</t>
  </si>
  <si>
    <t>Rs 652 Cr from 2025-04-21 to 2026-03-31 (~Rs 690 Cr annualised)</t>
  </si>
  <si>
    <t>HUL AR FY26 Note 43(I) (T1); recall understated</t>
  </si>
  <si>
    <t>C069</t>
  </si>
  <si>
    <t>Drools L Catterton round (Part 4)</t>
  </si>
  <si>
    <t>L Catterton invested in Drools in 2024</t>
  </si>
  <si>
    <t>June 2023, $60M at $600M valuation (~10% stake)</t>
  </si>
  <si>
    <t>Entrackr dated the round; recall was a year late</t>
  </si>
  <si>
    <t>C070</t>
  </si>
  <si>
    <t>HUFT revenue (Part 4)</t>
  </si>
  <si>
    <t>Search-tool summary: 'FY24 Rs 199.1 Cr ... FY23 revenue rose to Rs 312.8 Cr' (implies a fall)</t>
  </si>
  <si>
    <t>Two scopes: Rs 312.8 Cr FY23 (S215) vs Earth Paws Pvt Ltd Rs 199.1 Cr FY24 / 236.8 Cr FY25 (S216); ARR Rs 400 Cr Dec-2025 (S214)</t>
  </si>
  <si>
    <t>S215;S216;S214</t>
  </si>
  <si>
    <t>AI search summary merged two entity scopes into one series; read both pages and logged the conflict</t>
  </si>
  <si>
    <t>C071</t>
  </si>
  <si>
    <t>Drools FY25 revenue (Part 4)</t>
  </si>
  <si>
    <t>Search-tool summary: Rs 918 Cr FY25</t>
  </si>
  <si>
    <t>9M FY25 Rs 686.4 Cr (ICRA); full-year FY25 not confirmed</t>
  </si>
  <si>
    <t>Not in any fetched page; used ICRA 9M figure (~Rs 915 Cr annualised), FY25 marked UNCONFIRMED</t>
  </si>
  <si>
    <t>C072</t>
  </si>
  <si>
    <t>Supertails valuation (Part 4)</t>
  </si>
  <si>
    <t>Search-tool summary: ~$130M post-money (Feb 2026)</t>
  </si>
  <si>
    <t>Not stated in Business Today or Entrackr articles</t>
  </si>
  <si>
    <t>S213;S212</t>
  </si>
  <si>
    <t>Fetched both articles; valuation absent, kept as UNCONFIRMED</t>
  </si>
  <si>
    <t>fy</t>
  </si>
  <si>
    <t>mentions</t>
  </si>
  <si>
    <t>pages_with_mentions</t>
  </si>
  <si>
    <t>sample_page</t>
  </si>
  <si>
    <t>sample_quote</t>
  </si>
  <si>
    <t>ar_url</t>
  </si>
  <si>
    <t>status</t>
  </si>
  <si>
    <t>The master brand LEVER Ayush continued its momentum in the focused market - South India.</t>
  </si>
  <si>
    <t>counted</t>
  </si>
  <si>
    <t>Love Beauty &amp; Planet</t>
  </si>
  <si>
    <t>During the year, we also launched, a purpose-driven brand from the Unilever stable, ‘Love, Beauty and Planet’ - made from sustainably sourced ingredients and packaged in recycled plastic.</t>
  </si>
  <si>
    <t>While LEVER Ayush, the master brand maintained focus on its key market in southern India, we continued to build specialist brands like Indulekha and Hamam.</t>
  </si>
  <si>
    <t>Your Company also introduced one of Unilever’s brand, Love, Beauty and Planet in India and it has been on its journey of making people more beautiful while giving love to our planet.</t>
  </si>
  <si>
    <t>With e-Commerce gaining relevance with consumers, we continued to strengthen our play in the Masstige beauty segment and now have three fully-operational digital-first brands – Simple, Love Beauty &amp; Planet, and Baby Dove.</t>
  </si>
  <si>
    <t>Love Beauty and Planet expanded its portfolio with new offerings in Vegan and Cruelty-free beauty.</t>
  </si>
  <si>
    <t>Expanding our offerings in the premium beauty space, we launched two new brands Acne Squad and Find Your Happy Place.</t>
  </si>
  <si>
    <t>We have also launched a masstige beauty brand Novology in the growing segment of Derma- therapeutic Care.</t>
  </si>
  <si>
    <t>Our digital first brands, such as Simple and Love, Beauty &amp; Planet, are offering personalised experiences tailored to meet the unique needs of our diverse customer base.</t>
  </si>
  <si>
    <t>One such recent example among many others includes Novology Hyper Pigmentation Serum that was launched in 2023 with triple action technology.</t>
  </si>
  <si>
    <t>To address opportunities with super affluent consumers, we expanded our masstige portfolio through Novology, Simple and Love, Beauty &amp; Planet.</t>
  </si>
  <si>
    <t>2023 Yes NA 25 Dynazinc technology for dove scalp serum 2023 Yes NA 26 Synergistic technology of 3 potent actives – niacinamide, hexyl resorcinol and Retinyl Propionate helps reduce hyper pigmentation for Novology 2023 Yes NA 27 Adoption of Core Formulation Design and Process for Flavoured Mayonnaise range 2023 Yes NA Sustainability HUL’s R&amp;D is advancing the Company’s sustainability agenda across</t>
  </si>
  <si>
    <t>25 mother brands creating larger value for India Annual Consumer spend of over K19700 crores in aggregate Consumer Spends Brand Leadership ITC’s FMCG products reach over 140 million Indian households Aashirvaad nearly K6000 cr Sunfeast over K4000 cr Bingo! nearly K2700 cr Vivel K500 cr Mangaldeep over K800 cr YiPPee! nearly K1300 cr Classmate nearly K1400 cr Aashirvaad is No.</t>
  </si>
  <si>
    <t>rands creating larger value for India Annual Consumer spend of over K19700 crores in aggregate Consumer Spends Brand Leadership ITC’s FMCG products reach over 140 million Indian households Aashirvaad nearly K6000 cr Sunfeast over K4000 cr Bingo! nearly K2700 cr Vivel K500 cr Mangaldeep over K800 cr YiPPee! nearly K1300 cr Classmate nearly K1400 cr Aashirvaad is No.</t>
  </si>
  <si>
    <t>– ‘Fabelle’ chocolates continue to receive excellent response from discerning consumers setting new benchmarks in the luxury and FMCG chocolate segments.</t>
  </si>
  <si>
    <t>In October 2004, he moved to the Foods Business and set up the Snack Food category under the brand name ‘Bingo!’.</t>
  </si>
  <si>
    <t>– In the Instant Noodles category, ‘YiPPee!’ noodles posted stellar growth, well ahead of the industry and strengthened its market standing as a strong No.2 brand.</t>
  </si>
  <si>
    <t>Simultaneously, the FMCG businesses continue to make strategic investments in building the ‘new core’ by scaling up nascent categories such as Dairy (Aashirvaad Svasti), Beverages (B Natural), Chocolates (Fabelle, Candyman Fantastik), Coffee (Sunbean), Home Care (Nimyle, Nimwash, Nimeasy) and Skin Care (Dermafique, Charmis).</t>
  </si>
  <si>
    <t>REPORT AND ACCOUNTS 2022 Indulgence Sunfeast Dark Fantasy - A unique decadent ﬁlled cookie experience Sunfeast Bounce - A fun-ﬁlled ﬂavourful experience Candyman Fantastik - More chocolate in every experience Sunbean - Gourmet coffee Fabelle - Luxury chocolates C M andyman Fantastik - C Bingo! Snacks - Extravaganza of ﬂavour and texture</t>
  </si>
  <si>
    <t>raditional Knowledge of Health B Natural | Sunfeast Nutrilite Health Range B Natural - Immunity Focus Aashirvaad Svasti Select Milk and Easy Digest Milk (Lactose Free) Aashirvaad Iodized Salt - Proactive Better Heart Health Aashirvaad Nature’s Super Foods - for Organic and Rising Gluten Intolerance YiPPee! Power Up Noodles - Goodness of Whole Wheat Atta Aashirvaad Svasti</t>
  </si>
  <si>
    <t>ITC: Building World-Class Brands for India REPORT AND ACCOUNTS 2023 Branded Packaged Foods Bingo: Namkeen &amp; Chips YiPPee!: Noodles ITC Master Chef: Frozen Snacks Sunbean: Beaten Caffe and Instant Coffee B Natural: Coconut Water and Juices Sunrise: Spices Water and Juices B Natural: Coconut W Sunrise: Spices Recent Launches - High Quality Differentiated Offerings</t>
  </si>
  <si>
    <t>Recent Launches - High Quality Differentiated Offerings ITC: Building World-Class Brands for India REPORT AND ACCOUNTS 2023 Aashirvaad Organic Whole Wheat Atta Engage Eau De Parfum Dark Fantasy Desserts Fabelle Luxury Chocolates Sunfeast Smoothies - with fruit chunks and badam bits Sunbean Coffee Range Aashirvaad Svasti Paneer Slices Classmate Interaktiv Craft Books Mangaldeep 3in1 and Temple Fest</t>
  </si>
  <si>
    <t>He then assumed charge as the Head of Marketing of the then nascent Foods Business in April 2002, where he was instrumental in the launch and development of some of the key food brands of ITC including ‘Aashirvaad’, ‘Sunfeast’, ‘Bingo!’, ‘YiPPee!’ and ‘Kitchens of India’.</t>
  </si>
  <si>
    <t>Fabelle chocolates are made with cocoa beans sourced from the most exotic cocoa-growing regions of the world and combined with unique ingredients ITC’s World-Class Brands: Foods Kitchens of India captures the rich heritage of authentic Indian Cuisine ITC Next: Shaping a Future-Ready Enterprise that Puts Na</t>
  </si>
  <si>
    <t>He later assumed charge as the Head of Marketing of the then nascent Foods Business in April 2002, where he was instrumental in the launch and development of some of the key food brands of ITC including ‘Aashirvaad’, ‘Sunfeast’, ‘Bingo!’, ‘YiPPee!’ and ‘Kitchens of India’.</t>
  </si>
  <si>
    <t>– ‘Fabelle’ chocolates continue to receive excellent response from discerning consumers, setting new benchmarks in the luxury and premium chocolate segments.</t>
  </si>
  <si>
    <t>FoodiesOnly Happy Tummy Once Upon a Time by Candyman Aashirvaad Chakki Bingo - Let's Boing! Sunfeast - Family-like Friends Smart Manufacturing Differentiated platforms to strengthen brand building Indicative image, generated using AI xx</t>
  </si>
  <si>
    <t>ct Programme – to promote sports among schoolchildren xi ITC: Building a Future-Forward Enterprise for a Viksit Bharat Aashirvaad Smart India – an initiative to fight iodine deficiency Mangaldeep Sixth Sense – an initiative that employs visually impaired individuals as specialised fragrance testers YiPPee! Acti-Learn – to promote awareness about plastic waste management among schoolchildren ITC Su</t>
  </si>
  <si>
    <t>Saffola Immuniveda</t>
  </si>
  <si>
    <t>orants Studio X Range Beardo Saffola FITTIFY Gourmet Range Healthy Foods Saffola Perfect Nashta Saffola Masala Oats Saffola Oats Coco Soul Virgin Coconut Oil Parachute Advansed Body Lotion Body Gel Body Oil Skin Care Kaya Youth Oxy Infusion Range Hydro Replenish Range Hygiene Mediker Hand Sanitizer Veggie Clean Key Products Ûèöìïìèñ÷óòõ÷éòïìòòé ÷õøö÷èçåõäñçö INDIA FINANCIAL STATEMENTS STATUTOR</t>
  </si>
  <si>
    <t>In India, we touch the lives of one out of every three Indians through our portfolio of brands, such as Parachute, Saffola, Nihar Naturals, Saffola FITTIFY Gourmet, Saffola Immuniveda, Saffola Arogyam, Hair &amp; Care, Parachute Advansed, Mediker, Coco Soul, Revive, Set Wet, Beardo and Livon.</t>
  </si>
  <si>
    <t xml:space="preserve">Dry Fruit Oil Parachute Advansed Nihar Naturals Hair &amp; Care Hot Oil Gold Coconut Hair Oil Aloe Vera Enriched Coconut Hair Oil Jasmine Coconut Hair Oil Ayurvedic Hair Oil Shanti Badam Amla Hair Oil Shanti Sarson Hair Oil Shanti Jasmine Coconut Hair Oil Perfumed Coconut Hair Oil Gold Coconut Hair Oil Veggie Clean Hygiene Protect Surface Disinfectant Spray KeepSafe Range Mediker Hand Sanitizer Livon </t>
  </si>
  <si>
    <t>In India, we touch the lives of one out of every three Indians through our portfolio of brands, such as Parachute, Saffola, Nihar Naturals, Saffola FITTIFY Gourmet, Saffola Immuniveda, Hair &amp; Care, Parachute Advansed, Mediker, Coco Soul, Revive, Set Wet, Beardo, Just Herbs and Livon.</t>
  </si>
  <si>
    <t>Saffola Fittify, Saffola Immuniveda and Prachute Advance Product Range.</t>
  </si>
  <si>
    <t>Marico touches the lives of 1 out of every 3 Indians, through its portfolio of brands such as Parachute, Saffola, Saffola FITTIFY Gourmet, Saffola ImmuniVeda, Saffola Mealmaker, Hair &amp; Care, Parachute Advansed, Nihar Naturals, Mediker, Pure Sense, Coco Soul, Revive, Set Wet, Livon, Just Herbs, True Elements, Beardo and Plix.</t>
  </si>
  <si>
    <t>Home to iconic brands, such as Tata Tea, Tetley, Eight O’ Clock, Himalayan, Tata Salt and Tata Sampann, our portfolio of products represents our interests spanning food and beverage.</t>
  </si>
  <si>
    <t>| Instant coffee #4 Roast &amp; Ground Coffee in the USA – Eight O’Clock Coffee Brands FOODS Salt | Pulses | Besan (Gram flour) | Poha (Flattened rice) | Ready-to-cook mixes | Spices | Breakfast cereals | Healthy snacks #1 Leading Salt brand in India – Tata Salt National brand in Pulses in India – Tata Sampann Leading Millet breakfast cereal and snack brand in India - Tata Soulfull Brands LIQUID BEVER</t>
  </si>
  <si>
    <t>lt SOUTH AFRICA • Tetley • Laager AUSTRALIA • Tetley • teapigs • Tata Tea • Tata Salt • Good Earth Kombucha USA • Tetley • Good Earth • teapigs • Eight O' Clock 3.3% 13.2% 11.6% 0.3% 70.3% 1.1% INDIA • Tata Tea • Tetley • Tata Tea 1868 • Tata Coffee Grand • Sonnets by Tata Coffee • Tata Salt • Tata Sampann • Tata Soulfull • Tata Q • Himalayan • Tata Copper Plus Water • Tata Gluco Plus • Tata Frus</t>
  </si>
  <si>
    <t>OUR INDIA GROWTH BUSINESSES NOTICE OF THE ANNUAL GENERAL MEETING 434 Notice Tata Sampann NourishCo Tata Soulfull Tata Smartfoodz (RTE/RTC Business) *Business Responsibility and Sustainability Report</t>
  </si>
  <si>
    <t xml:space="preserve">11% (10%*) Revenue growth (consolidated) 7% EBITDA growth (consolidated) 30% Group Net Profit growth Ways we are driving growth * Constant currency growth Tata Soulfull – Taste first, health forward Unleashing the potential of NourishCo Entry into protein platform – Tata Simply Better and Tata GoFit Tata Starbucks – Scaling up post COVID Read more on page 68 Read more on page 72 Read more on page </t>
  </si>
  <si>
    <t>Our foods portfolio includes brands, such as Tata Salt, Tata Sampann, Tata Soulfull, Ching’s Secret and Smith &amp; Jones.</t>
  </si>
  <si>
    <t>ts • Ching’s Secret TEA • Tetley • Teapigs • Good Earth • Vitax • Tata Tea • Organic India FOODS • Tata Salt • Tata Sampann • Tata Raasa • Joyfull Millets • Ching’s Secret FOODS • Tata Salt • Tata Sampann • Tata Sampann Yumside • Tata Soulfull • Himalayan honey and preserves • Ching’s Secret • Tata Simply Better • Tata GoFit LIQUID BEVERAGES • Himalayan water • Tata Copper+ • Tata Gluco+ • Tata Fr</t>
  </si>
  <si>
    <t>EA • Tetley • Teapigs • Good Earth • Vitax • Tata Tea • Organic India FOODS • Tata Salt • Tata Sampann • Tata Raasa • Joyfull Millets • Ching’s Secret FOODS • Tata Salt • Tata Sampann • Tata Sampann Yumside • Tata Soulfull • Himalayan honey and preserves • Ching’s Secret • Tata Simply Better • Tata GoFit LIQUID BEVERAGES • Himalayan water • Tata Copper+ • Tata Gluco+ • Tata Fruski OUT-OF-HOME • Ta</t>
  </si>
  <si>
    <t>Tata Simply Better Tata Simply Better Tata Simply Better Ta Tata Fruski Tata Fruski Tata Fruski Tata Fruski Tata Tata Sampann Tata Sampann Tata Sampann Tata Sam Tata Coffee Grand Tata Coffee Grand Tata Coffee Gran Tata Coffee Gold Tata Coffee Gold Tata Coffee Gold T Tata Soulful Tata Soulful Tata Soulful Tata Soulful Ta Tata Gluco+ Tata Gluco+ Tata Gluco+ Tata Gluco+ Tat Tetley Green Tea Tetley Gr</t>
  </si>
  <si>
    <t>Tata Simply Better Tata Simply Better Tata Simply Better Ta Tata Fruski Tata Fruski Tata Fruski Tata Fruski Tata Tata Sampann Tata Sampann Tata Sampann Tata Sam Tata Coffee Grand Tata Coffee Grand Tata Coffee Gran Tata Coffee Gold Tata Coffee Gold Tata Coffee Gold T Tata Soulful Tata Soulful Tata Soulful Tata Soulful</t>
  </si>
  <si>
    <t>1868 by Tata Tea 18 Say Never Say Never Say Never Say Never Say Never S Tata Copper+ Tata Copper+ Tata Copper+ Tata Cop Tata Tea Care Tata Tea Care Tata Tea Care Tata Tea Care Ta Ching’s Secret Ching’s Secret Ching’s Secret Ching’s S Tata Simply Better Tata Simply Better Tata Simply Better Ta Tata Gofit Tata Gofit Tata Gofit Tata Gofit Tata Gofit T Joyfull Joyfull Joyfull Joyfull Joyfull Joyfull J</t>
  </si>
  <si>
    <t>ick Filter Sonnets by Tata Coffee READY-TO-DRINK Himalayan Natural Mineral Water Tata Copper+ Tata Gluco+ Tata Coffee Grand Cold Coffee Zip Zap Tetley Ready-To-Drink Green Tea TEA Tetley Good Earth teapigs Tata Tea Organic India COFFEE Eight O’Clock FOODS Tata Salt Ching’s Secret Smith &amp; Jones Tata Sampann TEA Tetley Tata Tea Organic India COFFEE Tata Coffee Gold FOODS Tata Salt Tata Sampann Ching</t>
  </si>
  <si>
    <t>fee Grand Tata Coffee Gold FOODS Tata Soulfull Tata Salt Tata Sampann Ching’s Secret READY-TO-DRINK Himalayan TEA Tetley Laager Tea4Kidz Tea time COFFEE Society Coffee Phendula Teeco Southalls FOODS Tata Salt Tata Sampann Tata Soulfull Himalayan honey and preserves Ching’s Secret Smith &amp; Jones Tata Simply Better HERBAL HEALTH SUPPLEMENTS Organic India OUT-OF-HOME Tata Starbucks Tata Consumer Speci</t>
  </si>
  <si>
    <t>Godrej Ninja / Pet Care</t>
  </si>
  <si>
    <t>25 24 The Godrej protekt range of hygiene products in India The new Saniter range of hygiene products in Indonesia Pivoting our air care category for more relevance</t>
  </si>
  <si>
    <t>29 1WTFWCNDGPGƂVRTQFWEVU in Godrej aer and Ezee (Top) Our range of Godrej protekt home and personal hygiene products in India (Left) The new Godrej ProClean brand of toilet cleaners in India</t>
  </si>
  <si>
    <t>78 Godrej Protekt India &amp; SAARC Godrej Expert India &amp; SAARC Godrej Professional India &amp; SAARC</t>
  </si>
  <si>
    <t>Annual &amp; Integrated Report 2022-23 Annual &amp; Integrated Report 2023-24 Goodknight Agarbatti HIT Aerosol Fab Liquid Detergent Aer O Darling Zuri Braid</t>
  </si>
  <si>
    <t>You’ve seen this begin to play out—through our acquisition-led entry into deodorants, our foray into pet food with a new brand and our expansion into mass liquid detergents.</t>
  </si>
  <si>
    <t>Fab, our new liquid detergent brand, crossed ₹150 crore topline in its first year.</t>
  </si>
  <si>
    <t>Through innovation-led entry into categories like Air Fresheners, Body Wash, Pet Care, and Toilet Cleaner, three businesses have emerged as disproportionate contributors to GCPL’s growth, our ‘Speedboats’: Godrej Aer, Godrej Fab and Goodknight Agarbatti.</t>
  </si>
  <si>
    <t>In Liquid Detergents, Godrej Fab continues to build a category where India’s per capita consumption is roughly one-tenth that of China today.</t>
  </si>
  <si>
    <t>Dabur enters Health Food Drink category with ‘Dabur Vita’ We ventured into the Health Food Drink category with the launch of ‘Dabur Vita’, made with a unique blend of more than 30+ herbs.</t>
  </si>
  <si>
    <t>Vita Immune India With schools and sports training centres reopening across the country, Dabur Vita, the leading Health Food Drink from the House of Dabur, rolled out a mega immunity awareness campaign -- Immune India -- in 19 cities, covering 5,582 students and sportspersons to build awareness about the impor</t>
  </si>
  <si>
    <t>Building Consumer Connect Vita Health Awareness Camps As part of its commitment to safeguard the health of the future generations, Dabur Vita, a functional drink from the House of Dabur, organised Health Awareness camps to promote 7 vital health needs like good digestion, respiratory health, strong bones &amp; muscle, strength - stamina, a</t>
  </si>
  <si>
    <t>Under this rationalisation strategy, we have decided to exit categories such as Vedic Tea, Adult &amp; Baby Diapers, and Dabur Vita, where scalability and profitability remain constrained.</t>
  </si>
  <si>
    <t>We exited segments such as Vedic Tea, Adult &amp; Baby Diapers, and Dabur Vita – where scalability and profitability were limited – and streamlined SKUs across overlapping portfolios.</t>
  </si>
  <si>
    <t>not available on BSE</t>
  </si>
  <si>
    <t>Staze</t>
  </si>
  <si>
    <t>Science-Backed Solutions Designed by Dermatologists Founded in 2020, The Derma Co.’s mission is to empower consumers to embrace their beauty, unfiltered.</t>
  </si>
  <si>
    <t>Hydrating Formulations for Indian Weather Aqualogica was launched in 2021 to address the core skincare needs for the Indian tropical climate, which does not need heavy, oily creams, it offers hydration delivered through lightweight textures.</t>
  </si>
  <si>
    <t>High-Performance, Long-Lasting Makeup Staze presents a pioneering range of high-performance, long-lasting makeup, driven by advanced C-Lock Technology™.</t>
  </si>
  <si>
    <t>Power of Potent Natural Herbs for Indian Millennials Ayuga is a natural skincare brand bringing the golden generation of skin rituals back in easy-to- use, power-packed forms for the modern consumer.</t>
  </si>
  <si>
    <t>• We will have one more ₹1,000 Crores brand in The Derma Co, and we will have at least two more ₹500 Crores brands in our portfolio.</t>
  </si>
  <si>
    <t>Hydration-based Skincare Formulated for the Indian Climate Aqualogica offers effective hydration through lightweight formulations tailored for the Indian tropical climate.</t>
  </si>
  <si>
    <t>High-performance Make-Up for Gen-Z Staze 9-to-9 is the latest addition to Honasa’s brand portfolio, offering a long-lasting makeup range designed for Indian skin tones and types.</t>
  </si>
  <si>
    <t>in/support/ home, https:// thedermaco.com/ contact-us , https:// aqualogica.in/ pages/contact, https://ayuga.in/ pages/contact 623137 2124 3,60,023 1,248 NA Value Chain Partners Yes, NIL 0 0 0*** 1 NA Other (please specify) Yes, NIL 0 0 - 1 - * Grievance Redressal Mechanism in Place (Yes/No) (If Yes, then provide web-link for grievance redress policy) ** Local communities raise their concerns thr</t>
  </si>
  <si>
    <t xml:space="preserve">mpany 04 Honasa at a Glance 08 Year in Review 10 Milestones 12 Founders’ Message 16 Our House of Brands 28 Stories of the Year 28 Focused Approach to Category Leadership 30 Focused and Direct: Mamaearth Back to Growth 32 Restructured Offline Distribution to Power the Next Decade of Growth 34 The Derma Co: Compounding a Category Leader 36 Strategic Capabilities 38 Innovation 40 Communication 42 </t>
  </si>
  <si>
    <t>inald Men, a men's personal care brand • Highest-ever PAT of ₹200 Cr • The Derma Co® launched science-led skincare built on active ingredients • Honasa enters offline with Mamaearth Mamaearth® – Expanded from baby care into personal care • Acquired Cosmogenesis Cosmetics to boost R&amp;D capabilities • Aqualogica™ and Dr.</t>
  </si>
  <si>
    <t>Sheth’s crossed ₹200 Cr ARR • Launched Staze 9to9 — long-wear colour cosmetics for Gen Z • Derma Co.® crossed ₹750 Cr ARR • Honasa crossed 20 million D2C customers Aqualogica™ launched hydration- led skincare for Indian climatic conditions MILESTONES | 10 Honasa Consumer Ltd.</t>
  </si>
  <si>
    <t>Kay Beauty</t>
  </si>
  <si>
    <t>Nykd</t>
  </si>
  <si>
    <t>Many of our brands such as Nykaa Cosmetics, Nykaa Naturals, Kay Beauty, Wanderlust and Nykaa SkinRx have wide customer acceptance and continue to grow on and off platform.</t>
  </si>
  <si>
    <t>In the fashion business we are building meaningful and significant brands such as Twenty Dresses, RSVP, Nykd by Nykaa and Gajra Gang.</t>
  </si>
  <si>
    <t>Our existing brands have witnessed considerable scale – Nykaa Cosmetics, Kay Beauty, Nykd by Nykaa and Twenty Dresses – all have found acceptance with our consumers.</t>
  </si>
  <si>
    <t>At the same time, Kay Beauty, India’s first celebrity beauty brand with Katrina Kaif, has seen significant growth in the year.</t>
  </si>
  <si>
    <t>Polo Assn Cover Story Marks &amp; Spencer Twenty Dresses NYKD Gajra Gang Pipa Bella IYKYK RSVP KICA Likha Azai Lola and Mae All brand count as on March 31, 2024</t>
  </si>
  <si>
    <t xml:space="preserve">Nykaa – bringing the best of global premium brands to India House of Nykaa - Beauty 7 Distinct brands 38,000+ Physical points of sale 13 Mn+ Customers ~H1,700 crores GMV (48% five-year CAGR) House of Nykaa – Beauty High-growth/Matured Dot &amp; Key + Kay Beauty + Nykaa Cosmetics Strategy Maintaining momentum with marketing investment and channel expansion Emerging Nykaa Wanderlust + Nykaa Perfumery + </t>
  </si>
  <si>
    <t xml:space="preserve">ry New arrivals Next-gen and tech-driven • Premium segment: 70% on iOS/ premium Android • Trend-focused: 85% Gen Z and young millennials • Platform recall: #2 overall, #1 for ‘latest trends’ • Best-in-class AOV: ~2× industry average; new-season sales ~2× House of Nykaa – Fashion High-growth/Matured Nykd + Twenty Dresses Strategy Maintaining momentum with marketing investment and channel expansion </t>
  </si>
  <si>
    <t>We lead in makeup through Nykaa Cosmetics and Kay Beauty, hold a strong skincare position with Dot &amp; Key and Earth Rhythm, invest in Wanderlust and Perfumery, and expand through the Nykaa Collection and multi-category offerings to address evolving consumer preferences.</t>
  </si>
  <si>
    <t>Nykd strengthened its position during the year by expanding beyond its core lingerie category into athleisure and sleepwear, broadening its relevance across multiple lifestyle occasions.</t>
  </si>
  <si>
    <t>In keeping with our purpose of creating innovative products to serve our customers, Bajaj Zero Grey Anti Greying Hair Oil was launched on Ecommerce platforms and in select Pharmacy outlets earlier this year.</t>
  </si>
  <si>
    <t>Bajaj 100% Pure</t>
  </si>
  <si>
    <t>Bajaj Zero Grey Bajaj Zero Grey is a new Premium Anti Greying Hair Oil and our digital first brand that has been launched primarily for E-commerce.</t>
  </si>
  <si>
    <t>Set up manufacturing plant at Guwahati in Assam y ‘Bajaj Almond Drops’ created “Guinness World Record” for the worlds longest head massage chain 2012 Incorporated wholly-owned subsidiaries in Bangladesh and UAE 2020 y Restage of Bajaj Almond Drops with new packaging (6X Vitamin E) y Launched Bajaj Zero Grey Hair Oil y Rural distribution expansion through VAN operations 2022 y Launched Bajaj Coco O</t>
  </si>
  <si>
    <t>In addition to this, we also reinforced our consumer-centric approach through the launch of Natyv Soul and Bajaj 100% Pure brands to address the ever-evolving needs of the new-age consumers.</t>
  </si>
  <si>
    <t>Additionally, we introduced the innovative Bajaj Zero Grey Hair Oil to our product line-up and expanded rural distribution through Van operations.</t>
  </si>
  <si>
    <t>Hair Oil Bajaj 100% Pure Bajaj Nomarks Ayurveda y Bajaj 100% Pure Castor Oil y Bajaj 100% Pure Olive Oil y Bajaj 100% Pure Jojoba Oil y Bajaj 100% Pure Kalonji Oil y Bajaj 100% Pure Virgin Coconut Oil y Bajaj Nomarks Antimarks Cream y Bajaj Nomarks Antimarks Face Wash y Bajaj Nomarks Antimarks Soap Natyv Soul y Natyv Soul Pure Argan Oil from Morocco y Natyv Soul Argan Oil Shampoo y Natyv Soul Arga</t>
  </si>
  <si>
    <t>Nourishing solutions for beauty needs DIVERSIFIED PRODUCT SUITE Range of Products Bajaj Almond Drops Bajaj 100% Pure Coconut Oil Bajaj Coco Onion Non-Sticky Hair Oil y Bajaj Almond Drops Hair Oil y Bajaj Almond Drops Almond Argan Hair Oil y Bajaj Almond Drops Serum With Oil y Bajaj Cool Almond Drops Hair Oil y Bajaj Almond Drops Soap With Almond Oil and Vitamin-E Bajaj Brahmi Amla Ayurvedic Hair O</t>
  </si>
  <si>
    <t>Diversified product portfolio Almond Drops Hair Oil Almond Drops Skin &amp; Hair Care Range Coconut Range Ethnic Range Amla Range No Marks Range * Digital Brands 100% Pure* Natyv Soul* 24 100+ 30+ 8,200 43 Lakhs Brands SKUs Countries Presence Distribution channel partners POS or retail outlets across India Our Vision Values that we stand by We at BCCL, to achieve our business goals, have laid down cer</t>
  </si>
  <si>
    <t>Bajaj 100% Pure Coconut Oil and the Bajaj Amla Portfolio have made significant gains over the years.</t>
  </si>
  <si>
    <t>Countries where our products are sold Total outlets reached market share in the category Almond Drops Hair Oil Ethnic Range Amla Range Natyv Soul NoMarks Range Almond Drops Skin &amp; Hair Care Range Coconut Range 100% Pure 19th Annual Report 2024-25 04 05 Strategic.</t>
  </si>
  <si>
    <t>Carefully curated to meet the diverse needs of our consumers across General Trade and Organised Trade and available in consumer-friendly SKUs to suit every need: Available SKUs 20ml | 40ml | 300ml | 450ml | 500ml BAJAJ 100% PURE COCONUT OIL Bajaj 100% Pure Coconut Oil delivered a resilient performance this fiscal year, navigating the headwind of rising copra prices across the Coconut Oil category.</t>
  </si>
  <si>
    <t>We also celebrated the launch of a new brand, I’mlite, a unique formulation of sugar blended with stevia to offer consumers 50% fewer calories than regular sugar.</t>
  </si>
  <si>
    <t>With over 35 years of operational excellence, our strong portfolio includes trusted, category-leading brands such as Sugar Free, I’mlite, Glucon-D, Nutralite, Everyuth, Nycil, Complan and RiteBite Max Protein.</t>
  </si>
  <si>
    <t>With over 36 years of operational excellence, the Company today houses a strong portfolio of trusted and category-leading brands, including Sugar Free, I’m lite, Glucon-D, Nutralite, Everyuth, Nycil, Complan, Cuticolor, RiteBite Max Protein, WeightWorld, Maxmedix and Animigo.</t>
  </si>
  <si>
    <t>Reliance Industries Ltd</t>
  </si>
  <si>
    <t>The business also expanded its product basket through acquisitions and partnerships at both local and global levels like Metro, Campa Cola, GAP, Pret A Manger, Lotus, Sosyo, Maliban, Toffeeman to name a few.</t>
  </si>
  <si>
    <t>The FMCG business launched several products during the year including ‘Independence’ brand and the iconic beverage brand, ‘Campa’.</t>
  </si>
  <si>
    <t>Outlook SCOT Analysis −Brands ‘Campa’ and ‘Independence’ have received good traction from trade channels and consumers.</t>
  </si>
  <si>
    <t>• Product innovation remained a key focus, with strategic acquisitions of Tagz Foods and the launch of new variants under Campa, Independence, Alan’s, Enzo, Ravalgaon etc.</t>
  </si>
  <si>
    <t>Campa achieved H 4,700+ crore in gross sales in FY 2025-26.</t>
  </si>
  <si>
    <t>Independence brand achieved ~H 2,600 crore sales and has been recognized as one of India’s Most Trusted Brands of 2026, building long-term consumer loyalty.</t>
  </si>
  <si>
    <t>definition</t>
  </si>
  <si>
    <t>numerator</t>
  </si>
  <si>
    <t>denominator</t>
  </si>
  <si>
    <t>rate</t>
  </si>
  <si>
    <t>wilson_95</t>
  </si>
  <si>
    <t>rate_if_stable_counts</t>
  </si>
  <si>
    <t>rows_included</t>
  </si>
  <si>
    <t>a) all core builds (year_start &gt;= 2020), no exclusions</t>
  </si>
  <si>
    <t>14%-50%</t>
  </si>
  <si>
    <t>8/21 = 38%</t>
  </si>
  <si>
    <t>Acne Squad [Withdrawn]; Find Your Happy Place [Withdrawn]; Novology [Unclear]; Saffola Immuniveda [Withdrawn]; Veggie Clean [Withdrawn]; The Derma Co [Scaled]; Aqualogica [Scaled]; Ayuga [Withdrawn]; Staze [Niche]; Godrej Fab [Scaled]; Godrej Ninja [Niche]; Dabur Vita [Withdrawn]; Tata Simply Better [Stable]; Tata GoFit [Niche]; Nykd by Nykaa [Scaled]; Bajaj Zero Grey [Withdrawn]; Natyv Soul [Niche]; Bajaj 100% Pure [Stable]; I'mlite [Unclear]; Independence [Scaled]; Campa [Scaled]</t>
  </si>
  <si>
    <t>Success = status_today Scaled. Raw rate. Includes out-of-scope (Fab, Veggie Clean, Ninja, Nykd), captive (Independence), hybrid (Campa) and Unclear rows; Unclear counted as not scaled.</t>
  </si>
  <si>
    <t>b) core builds at least 3 years old (launched on/before 2023-10-10)</t>
  </si>
  <si>
    <t>13%-53%</t>
  </si>
  <si>
    <t>7/17 = 41%</t>
  </si>
  <si>
    <t>Acne Squad [Withdrawn]; Find Your Happy Place [Withdrawn]; Novology [Unclear]; Saffola Immuniveda [Withdrawn]; Veggie Clean [Withdrawn]; The Derma Co [Scaled]; Aqualogica [Scaled]; Ayuga [Withdrawn]; Dabur Vita [Withdrawn]; Tata Simply Better [Stable]; Tata GoFit [Niche]; Nykd by Nykaa [Scaled]; Bajaj Zero Grey [Withdrawn]; Natyv Soul [Niche]; Bajaj 100% Pure [Stable]; Independence [Scaled]; Campa [Scaled]</t>
  </si>
  <si>
    <t>Success = status_today Scaled. year_start &lt;= 2022, plus 2023 launches whose month is known to be early: Novology: launched Jan-Mar 2023 (AR FY23); Campa: relaunched in FY23, i.e. by Mar 2023 (RIL AR FY23). Dropped as too young or undatable: Staze (2024), Godrej Fab (2024), Godrej Ninja (2025), I'mlite (FY24, month UNCONFIRMED). No other exclusions.</t>
  </si>
  <si>
    <t>c) traditional FMCG parents, base_rate_flag = included, digital-first builds only</t>
  </si>
  <si>
    <t>0%-35%</t>
  </si>
  <si>
    <t>1/7 = 14%</t>
  </si>
  <si>
    <t>Acne Squad [Withdrawn]; Find Your Happy Place [Withdrawn]; Dabur Vita [Withdrawn]; Tata GoFit [Niche]; Bajaj Zero Grey [Withdrawn]; Natyv Soul [Niche]; Bajaj 100% Pure [Stable]</t>
  </si>
  <si>
    <t>Success = status_today Scaled. Traditional = all parents except Honasa and Nykaa. Excludes out-of-scope, captive-channel, hybrid and unclear rows. Digital-first evidence: Acne Squad: 'Digital-first acne brand' (HUL AR FY23, Agile Innovation Hub; D2C Shopify store); Find Your Happy Place: 'crafted for digital consumers' (HUL AR FY23; D2C Shopify store); Tata GoFit: TCPL AR FY24 p.45 calls it a 'digital brand'; D2C store; Bajaj Zero Grey: sold 'primarily for E-commerce' (Bajaj AR); Natyv Soul: 'Launched two digital first brands: Bajaj 100% Pure and Natyv Soul' (Bajaj AR FY22 p.5); Bajaj 100% Pure: same AR FY22 line; later taken to all channels; Dabur Vita: BORDERLINE: launched on e-commerce with Flipkart (S117); not called 'digital-first' by Dabur. Excluding borderline Dabur Vita: 0/6. All 9 included traditional core builds (adding Immuniveda, Simply Better): 0/9.</t>
  </si>
  <si>
    <t>d) D2C-native parents (Honasa, Nykaa), base_rate_flag = included</t>
  </si>
  <si>
    <t>15%-85%</t>
  </si>
  <si>
    <t>2/4 = 50%</t>
  </si>
  <si>
    <t>The Derma Co [Scaled]; Aqualogica [Scaled]; Ayuga [Withdrawn]; Staze [Niche]</t>
  </si>
  <si>
    <t>Success = status_today Scaled. Nykd (apparel, out of scope; Scaled on GMV) excluded; with it: 3/5. CAVEATS: The Derma Co and Aqualogica were built pre-IPO (unlisted parent); both 'Scaled' figures are company-stated ARR, not audited revenue (Aqualogica's ARR is a joint figure with Dr. Sheth's, Medium); Staze is only ~2.5 years old.</t>
  </si>
  <si>
    <t>table</t>
  </si>
  <si>
    <t>v1_demand</t>
  </si>
  <si>
    <t>v2_distance</t>
  </si>
  <si>
    <t>v3_window</t>
  </si>
  <si>
    <t>v5_founder</t>
  </si>
  <si>
    <t>score</t>
  </si>
  <si>
    <t>side</t>
  </si>
  <si>
    <t>hit</t>
  </si>
  <si>
    <t>A</t>
  </si>
  <si>
    <t>Minimalist</t>
  </si>
  <si>
    <t>C</t>
  </si>
  <si>
    <t>BUY</t>
  </si>
  <si>
    <t>OZiva</t>
  </si>
  <si>
    <t>Wellbeing Nutrition</t>
  </si>
  <si>
    <t>miss</t>
  </si>
  <si>
    <t>Yoga Bar</t>
  </si>
  <si>
    <t>Mother Sparsh</t>
  </si>
  <si>
    <t>24 Mantra Organic</t>
  </si>
  <si>
    <t>Prasuma</t>
  </si>
  <si>
    <t>Soulfull</t>
  </si>
  <si>
    <t>Ching's Secret / Smith &amp; Jones</t>
  </si>
  <si>
    <t>D</t>
  </si>
  <si>
    <t>BUILD</t>
  </si>
  <si>
    <t>Organic India</t>
  </si>
  <si>
    <t>Beardo</t>
  </si>
  <si>
    <t>untested</t>
  </si>
  <si>
    <t>Just Herbs</t>
  </si>
  <si>
    <t>True Elements</t>
  </si>
  <si>
    <t>Plix</t>
  </si>
  <si>
    <t>Cosmix</t>
  </si>
  <si>
    <t>4700BC</t>
  </si>
  <si>
    <t>Badshah Masala</t>
  </si>
  <si>
    <t>Sesa</t>
  </si>
  <si>
    <t>Park Avenue</t>
  </si>
  <si>
    <t>Muuchstac</t>
  </si>
  <si>
    <t>Dot &amp; Key</t>
  </si>
  <si>
    <t>Earth Rhythm</t>
  </si>
  <si>
    <t>The Man Company</t>
  </si>
  <si>
    <t>Brillare</t>
  </si>
  <si>
    <t>Dermicool</t>
  </si>
  <si>
    <t>Reginald Men</t>
  </si>
  <si>
    <t>RiteBite Max Protein</t>
  </si>
  <si>
    <t>Banjara's</t>
  </si>
  <si>
    <t>Lotus Chocolate</t>
  </si>
  <si>
    <t>Sosyo</t>
  </si>
  <si>
    <t>B</t>
  </si>
  <si>
    <t>not scored</t>
  </si>
  <si>
    <t>spike</t>
  </si>
  <si>
    <t>AVOID (spike)</t>
  </si>
  <si>
    <t>Godrej Ninja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</si>
</sst>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 Cr&quot;"/>
    <numFmt numFmtId="165" formatCode="0&quot; years&quot;"/>
    <numFmt numFmtId="166" formatCode="\₹#,##0.00&quot; Cr&quot;"/>
    <numFmt numFmtId="168" formatCode="0.00\x"/>
    <numFmt numFmtId="169" formatCode="0.0%"/>
    <numFmt numFmtId="170" formatCode="#,##0.0"/>
    <numFmt numFmtId="171" formatCode="0.000"/>
    <numFmt numFmtId="172" formatCode="0&quot; yrs&quot;"/>
    <numFmt numFmtId="173" formatCode="&quot;₹&quot;#,##0&quot; Cr&quot;"/>
    <numFmt numFmtId="174" formatCode="0.0&quot;%&quot;"/>
  </numFmts>
  <fonts count="20" x14ac:knownFonts="1">
    <font>
      <sz val="11"/>
      <color theme="1"/>
      <name val="Calibri"/>
      <family val="2"/>
      <charset val="1"/>
    </font>
    <font>
      <b/>
      <sz val="10"/>
      <color rgb="FFFFFFFF"/>
      <name val="Arial"/>
    </font>
    <font>
      <sz val="10"/>
      <name val="Arial"/>
    </font>
    <font>
      <sz val="10"/>
      <color rgb="FF0000FF"/>
      <name val="Arial"/>
    </font>
    <font>
      <u/>
      <sz val="10"/>
      <color rgb="FF0563C1"/>
      <name val="Arial"/>
    </font>
    <font>
      <b/>
      <sz val="10"/>
      <name val="Arial"/>
    </font>
    <font>
      <b/>
      <sz val="10"/>
      <color rgb="FFE4003A"/>
      <name val="Arial"/>
    </font>
    <font>
      <b/>
      <sz val="10"/>
      <color rgb="FFFFFFFF"/>
      <name val="Arial"/>
    </font>
    <font>
      <b/>
      <sz val="11"/>
      <color rgb="FFE4003A"/>
      <name val="Arial"/>
    </font>
    <font>
      <b/>
      <sz val="14"/>
      <color rgb="FFE4003A"/>
      <name val="Arial"/>
    </font>
    <font>
      <i/>
      <sz val="10"/>
      <color rgb="FF595959"/>
      <name val="Arial"/>
    </font>
    <font>
      <b/>
      <sz val="11"/>
      <color rgb="FFFFFFFF"/>
      <name val="Arial"/>
    </font>
    <font>
      <b/>
      <sz val="10"/>
      <color rgb="FF0000FF"/>
      <name val="Arial"/>
    </font>
    <font>
      <b/>
      <sz val="20"/>
      <color rgb="FFE4003A"/>
      <name val="Arial"/>
    </font>
    <font>
      <sz val="12"/>
      <color rgb="FF404040"/>
      <name val="Arial"/>
    </font>
    <font>
      <i/>
      <sz val="9"/>
      <color rgb="FF7F7F7F"/>
      <name val="Arial"/>
    </font>
    <font>
      <sz val="10"/>
      <color rgb="FF000000"/>
      <name val="Arial"/>
    </font>
    <font>
      <i/>
      <sz val="9"/>
      <color rgb="FF595959"/>
      <name val="Arial"/>
    </font>
    <font>
      <b/>
      <sz val="10"/>
      <color rgb="FF000000"/>
      <name val="Arial"/>
    </font>
    <font>
      <sz val="10"/>
      <color rgb="FF0000FF"/>
      <name val="Arial"/>
    </font>
  </fonts>
  <fills count="12">
    <fill>
      <patternFill patternType="none"/>
    </fill>
    <fill>
      <patternFill patternType="gray125"/>
    </fill>
    <fill>
      <patternFill patternType="solid">
        <fgColor rgb="FF1F3864"/>
        <bgColor rgb="FF333399"/>
      </patternFill>
    </fill>
    <fill>
      <patternFill patternType="solid">
        <fgColor rgb="FFFFF2CC"/>
        <bgColor rgb="FFFFEB9C"/>
      </patternFill>
    </fill>
    <fill>
      <patternFill patternType="solid">
        <fgColor rgb="FFF3F6FB"/>
        <bgColor rgb="FFFFFFFF"/>
      </patternFill>
    </fill>
    <fill>
      <patternFill patternType="solid">
        <fgColor rgb="FFD9E1F2"/>
        <bgColor rgb="FFD0D7E2"/>
      </patternFill>
    </fill>
    <fill>
      <patternFill patternType="solid">
        <fgColor rgb="FFE4003A"/>
      </patternFill>
    </fill>
    <fill>
      <patternFill patternType="solid">
        <fgColor rgb="FFFCE4EA"/>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F2CC"/>
      </patternFill>
    </fill>
  </fills>
  <borders count="4">
    <border>
      <left/>
      <right/>
      <top/>
      <bottom/>
      <diagonal/>
    </border>
    <border>
      <left style="thin">
        <color rgb="FFEBD3D9"/>
      </left>
      <right style="thin">
        <color rgb="FFEBD3D9"/>
      </right>
      <top style="thin">
        <color rgb="FFEBD3D9"/>
      </top>
      <bottom style="thin">
        <color rgb="FFEBD3D9"/>
      </bottom>
      <diagonal/>
    </border>
    <border>
      <left/>
      <right/>
      <top/>
      <bottom style="thin">
        <color rgb="FFE4003A"/>
      </bottom>
      <diagonal/>
    </border>
    <border>
      <left/>
      <right/>
      <top/>
      <bottom style="thin">
        <color rgb="FFEBD3D9"/>
      </bottom>
      <diagonal/>
    </border>
  </borders>
  <cellStyleXfs count="1">
    <xf numFmtId="0" fontId="0" fillId="0" borderId="0"/>
  </cellStyleXfs>
  <cellXfs count="82">
    <xf numFmtId="0" fontId="0" fillId="0" borderId="0" xfId="0"/>
    <xf numFmtId="0" fontId="0" fillId="6" borderId="0" xfId="0" applyFill="1"/>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1" fillId="6" borderId="0" xfId="0" applyFont="1" applyFill="1" applyAlignment="1">
      <alignment vertical="center"/>
    </xf>
    <xf numFmtId="0" fontId="16" fillId="0" borderId="3" xfId="0" applyFont="1" applyBorder="1" applyAlignment="1">
      <alignment vertical="center"/>
    </xf>
    <xf numFmtId="173" fontId="6" fillId="0" borderId="3" xfId="0" applyNumberFormat="1" applyFont="1" applyBorder="1" applyAlignment="1">
      <alignment horizontal="right" vertical="center"/>
    </xf>
    <xf numFmtId="0" fontId="17" fillId="0" borderId="3" xfId="0" applyFont="1" applyBorder="1" applyAlignment="1">
      <alignment vertical="center"/>
    </xf>
    <xf numFmtId="9" fontId="6" fillId="0" borderId="3" xfId="0" applyNumberFormat="1" applyFont="1" applyBorder="1" applyAlignment="1">
      <alignment horizontal="right" vertical="center"/>
    </xf>
    <xf numFmtId="165" fontId="6" fillId="0" borderId="3" xfId="0" applyNumberFormat="1" applyFont="1" applyBorder="1" applyAlignment="1">
      <alignment horizontal="right" vertical="center"/>
    </xf>
    <xf numFmtId="3" fontId="6" fillId="0" borderId="3" xfId="0" applyNumberFormat="1" applyFont="1" applyBorder="1" applyAlignment="1">
      <alignment horizontal="right" vertical="center"/>
    </xf>
    <xf numFmtId="0" fontId="18" fillId="8" borderId="0" xfId="0" applyFont="1" applyFill="1" applyAlignment="1">
      <alignment vertical="center"/>
    </xf>
    <xf numFmtId="0" fontId="18" fillId="9" borderId="0" xfId="0" applyFont="1" applyFill="1" applyAlignment="1">
      <alignment vertical="center"/>
    </xf>
    <xf numFmtId="0" fontId="18" fillId="10" borderId="0" xfId="0" applyFont="1" applyFill="1" applyAlignment="1">
      <alignment vertical="center"/>
    </xf>
    <xf numFmtId="0" fontId="19" fillId="0" borderId="0" xfId="0" applyFont="1" applyAlignment="1">
      <alignment vertical="center"/>
    </xf>
    <xf numFmtId="0" fontId="16" fillId="0" borderId="0" xfId="0" applyFont="1" applyAlignment="1">
      <alignment vertical="center"/>
    </xf>
    <xf numFmtId="0" fontId="16" fillId="11" borderId="0" xfId="0" applyFont="1" applyFill="1" applyAlignment="1">
      <alignment vertical="center"/>
    </xf>
    <xf numFmtId="0" fontId="1" fillId="6" borderId="1" xfId="0" applyFont="1" applyFill="1" applyBorder="1" applyAlignment="1">
      <alignment horizontal="center" vertical="center" wrapText="1"/>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1" fontId="2" fillId="4" borderId="1" xfId="0" applyNumberFormat="1" applyFont="1" applyFill="1" applyBorder="1" applyAlignment="1">
      <alignment horizontal="center" vertical="top"/>
    </xf>
    <xf numFmtId="166" fontId="3" fillId="4" borderId="1" xfId="0" applyNumberFormat="1" applyFont="1" applyFill="1" applyBorder="1" applyAlignment="1">
      <alignment vertical="top"/>
    </xf>
    <xf numFmtId="174" fontId="3" fillId="4" borderId="1" xfId="0" applyNumberFormat="1" applyFont="1" applyFill="1" applyBorder="1" applyAlignment="1">
      <alignment horizontal="center" vertical="top"/>
    </xf>
    <xf numFmtId="0" fontId="2" fillId="4" borderId="1" xfId="0" applyFont="1" applyFill="1" applyBorder="1" applyAlignment="1">
      <alignment vertical="top"/>
    </xf>
    <xf numFmtId="168" fontId="2" fillId="3" borderId="1" xfId="0" applyNumberFormat="1" applyFont="1" applyFill="1" applyBorder="1" applyAlignment="1">
      <alignment vertical="top"/>
    </xf>
    <xf numFmtId="0" fontId="4" fillId="4" borderId="1" xfId="0" applyFont="1" applyFill="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1" fontId="2" fillId="0" borderId="1" xfId="0" applyNumberFormat="1" applyFont="1" applyBorder="1" applyAlignment="1">
      <alignment horizontal="center" vertical="top"/>
    </xf>
    <xf numFmtId="166" fontId="3" fillId="0" borderId="1" xfId="0" applyNumberFormat="1" applyFont="1" applyBorder="1" applyAlignment="1">
      <alignment vertical="top"/>
    </xf>
    <xf numFmtId="174" fontId="3" fillId="0" borderId="1" xfId="0" applyNumberFormat="1" applyFont="1" applyBorder="1" applyAlignment="1">
      <alignment horizontal="center" vertical="top"/>
    </xf>
    <xf numFmtId="0" fontId="2" fillId="0" borderId="1" xfId="0" applyFont="1" applyBorder="1" applyAlignment="1">
      <alignment vertical="top"/>
    </xf>
    <xf numFmtId="0" fontId="4" fillId="0" borderId="1" xfId="0" applyFont="1" applyBorder="1" applyAlignment="1">
      <alignment vertical="top"/>
    </xf>
    <xf numFmtId="0" fontId="3" fillId="0" borderId="1" xfId="0" applyFont="1" applyBorder="1" applyAlignment="1">
      <alignment horizontal="center" vertical="top"/>
    </xf>
    <xf numFmtId="0" fontId="3" fillId="4" borderId="1" xfId="0" applyFont="1" applyFill="1" applyBorder="1" applyAlignment="1">
      <alignment horizontal="center" vertical="top"/>
    </xf>
    <xf numFmtId="1" fontId="3" fillId="4" borderId="1" xfId="0" applyNumberFormat="1" applyFont="1" applyFill="1" applyBorder="1" applyAlignment="1">
      <alignment vertical="top"/>
    </xf>
    <xf numFmtId="1" fontId="2" fillId="3" borderId="1" xfId="0" applyNumberFormat="1" applyFont="1" applyFill="1" applyBorder="1" applyAlignment="1">
      <alignment vertical="top"/>
    </xf>
    <xf numFmtId="166" fontId="2" fillId="3" borderId="1" xfId="0" applyNumberFormat="1" applyFont="1" applyFill="1" applyBorder="1" applyAlignment="1">
      <alignment vertical="top"/>
    </xf>
    <xf numFmtId="169" fontId="3" fillId="4" borderId="1" xfId="0" applyNumberFormat="1" applyFont="1" applyFill="1" applyBorder="1" applyAlignment="1">
      <alignment vertical="top"/>
    </xf>
    <xf numFmtId="169" fontId="2" fillId="3" borderId="1" xfId="0" applyNumberFormat="1" applyFont="1" applyFill="1" applyBorder="1" applyAlignment="1">
      <alignment vertical="top"/>
    </xf>
    <xf numFmtId="169" fontId="3" fillId="0" borderId="1" xfId="0" applyNumberFormat="1" applyFont="1" applyBorder="1" applyAlignment="1">
      <alignment vertical="top"/>
    </xf>
    <xf numFmtId="0" fontId="6" fillId="5" borderId="0" xfId="0" applyFont="1" applyFill="1" applyAlignment="1">
      <alignment vertical="top"/>
    </xf>
    <xf numFmtId="0" fontId="2" fillId="0" borderId="0" xfId="0" applyFont="1" applyAlignment="1">
      <alignment vertical="top"/>
    </xf>
    <xf numFmtId="166" fontId="3" fillId="0" borderId="0" xfId="0" applyNumberFormat="1" applyFont="1" applyAlignment="1">
      <alignment vertical="top"/>
    </xf>
    <xf numFmtId="169" fontId="3" fillId="0" borderId="0" xfId="0" applyNumberFormat="1" applyFont="1" applyAlignment="1">
      <alignment vertical="top"/>
    </xf>
    <xf numFmtId="1" fontId="3" fillId="0" borderId="0" xfId="0" applyNumberFormat="1" applyFont="1" applyAlignment="1">
      <alignment vertical="top"/>
    </xf>
    <xf numFmtId="0" fontId="9" fillId="0" borderId="0" xfId="0" applyFont="1"/>
    <xf numFmtId="0" fontId="10" fillId="0" borderId="0" xfId="0" applyFont="1"/>
    <xf numFmtId="0" fontId="11" fillId="6" borderId="0" xfId="0" applyFont="1" applyFill="1"/>
    <xf numFmtId="0" fontId="2" fillId="6" borderId="0" xfId="0" applyFont="1" applyFill="1"/>
    <xf numFmtId="0" fontId="2" fillId="0" borderId="0" xfId="0" applyFont="1"/>
    <xf numFmtId="1" fontId="2" fillId="0" borderId="0" xfId="0" applyNumberFormat="1" applyFont="1"/>
    <xf numFmtId="169" fontId="2" fillId="0" borderId="0" xfId="0" applyNumberFormat="1" applyFont="1"/>
    <xf numFmtId="0" fontId="5" fillId="7" borderId="2" xfId="0" applyFont="1" applyFill="1" applyBorder="1"/>
    <xf numFmtId="170" fontId="2" fillId="0" borderId="0" xfId="0" applyNumberFormat="1" applyFont="1"/>
    <xf numFmtId="171" fontId="2" fillId="0" borderId="0" xfId="0" applyNumberFormat="1" applyFont="1"/>
    <xf numFmtId="164" fontId="2" fillId="3" borderId="0" xfId="0" applyNumberFormat="1" applyFont="1" applyFill="1"/>
    <xf numFmtId="169" fontId="2" fillId="3" borderId="0" xfId="0" applyNumberFormat="1" applyFont="1" applyFill="1"/>
    <xf numFmtId="0" fontId="5" fillId="0" borderId="0" xfId="0" applyFont="1"/>
    <xf numFmtId="164" fontId="5" fillId="3" borderId="0" xfId="0" applyNumberFormat="1" applyFont="1" applyFill="1"/>
    <xf numFmtId="0" fontId="8" fillId="7" borderId="0" xfId="0" applyFont="1" applyFill="1"/>
    <xf numFmtId="0" fontId="2" fillId="7" borderId="0" xfId="0" applyFont="1" applyFill="1"/>
    <xf numFmtId="0" fontId="5" fillId="5" borderId="0" xfId="0" applyFont="1" applyFill="1"/>
    <xf numFmtId="0" fontId="1" fillId="6" borderId="0" xfId="0" applyFont="1" applyFill="1" applyAlignment="1">
      <alignment horizontal="center"/>
    </xf>
    <xf numFmtId="1" fontId="2" fillId="3" borderId="0" xfId="0" applyNumberFormat="1" applyFont="1" applyFill="1"/>
    <xf numFmtId="164" fontId="2" fillId="0" borderId="0" xfId="0" applyNumberFormat="1" applyFont="1"/>
    <xf numFmtId="0" fontId="10" fillId="7" borderId="0" xfId="0" applyFont="1" applyFill="1"/>
    <xf numFmtId="172" fontId="1" fillId="6" borderId="0" xfId="0" applyNumberFormat="1" applyFont="1" applyFill="1" applyAlignment="1">
      <alignment horizontal="center"/>
    </xf>
    <xf numFmtId="172" fontId="12" fillId="0" borderId="0" xfId="0" applyNumberFormat="1" applyFont="1"/>
    <xf numFmtId="9" fontId="5" fillId="0" borderId="1" xfId="0" applyNumberFormat="1" applyFont="1" applyBorder="1" applyAlignment="1">
      <alignment horizontal="center"/>
    </xf>
    <xf numFmtId="3" fontId="2" fillId="0" borderId="1" xfId="0" applyNumberFormat="1" applyFont="1" applyBorder="1"/>
    <xf numFmtId="3" fontId="2" fillId="0" borderId="0" xfId="0" applyNumberFormat="1" applyFont="1"/>
    <xf numFmtId="0" fontId="9" fillId="7" borderId="0" xfId="0" applyFont="1" applyFill="1" applyAlignment="1">
      <alignment vertical="center"/>
    </xf>
    <xf numFmtId="0" fontId="8" fillId="7" borderId="0" xfId="0" applyFont="1" applyFill="1" applyAlignment="1">
      <alignment vertical="center"/>
    </xf>
    <xf numFmtId="0" fontId="6" fillId="2" borderId="0" xfId="0" applyFont="1" applyFill="1" applyAlignment="1">
      <alignment vertical="top" wrapText="1"/>
    </xf>
    <xf numFmtId="0" fontId="2" fillId="0" borderId="0" xfId="0" applyFont="1" applyAlignment="1">
      <alignment vertical="top" wrapText="1"/>
    </xf>
    <xf numFmtId="0" fontId="7" fillId="2" borderId="0" xfId="0" applyFont="1" applyFill="1" applyAlignment="1">
      <alignment vertical="top" wrapText="1"/>
    </xf>
    <xf numFmtId="9" fontId="5" fillId="4" borderId="1" xfId="0" applyNumberFormat="1" applyFont="1" applyFill="1" applyBorder="1" applyAlignment="1">
      <alignment horizontal="center" vertical="top"/>
    </xf>
    <xf numFmtId="9" fontId="5" fillId="0" borderId="1" xfId="0" applyNumberFormat="1" applyFont="1" applyBorder="1" applyAlignment="1">
      <alignment horizontal="center" vertical="top"/>
    </xf>
    <xf numFmtId="0" fontId="16" fillId="0" borderId="0" xfId="0" applyFont="1" applyAlignment="1">
      <alignment vertical="center" wrapText="1"/>
    </xf>
    <xf numFmtId="0" fontId="0" fillId="0" borderId="0" xfId="0"/>
  </cellXfs>
  <cellStyles count="1">
    <cellStyle name="Normal" xfId="0" builtinId="0"/>
  </cellStyles>
  <dxfs count="14">
    <dxf>
      <fill>
        <patternFill>
          <bgColor rgb="FFFFC7CE"/>
        </patternFill>
      </fill>
    </dxf>
    <dxf>
      <fill>
        <patternFill>
          <bgColor rgb="FFFFEB9C"/>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7F7F7F"/>
      <rgbColor rgb="FF9999FF"/>
      <rgbColor rgb="FF993366"/>
      <rgbColor rgb="FFFFF2CC"/>
      <rgbColor rgb="FFF3F6FB"/>
      <rgbColor rgb="FF660066"/>
      <rgbColor rgb="FFFF8080"/>
      <rgbColor rgb="FF0563C1"/>
      <rgbColor rgb="FFD0D7E2"/>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bseindia.com/xml-data/corpfiling/AttachHis/6b5c78ca-543a-4181-8f13-c0b10991f345.pdf" TargetMode="External"/><Relationship Id="rId13" Type="http://schemas.openxmlformats.org/officeDocument/2006/relationships/hyperlink" Target="https://www.bseindia.com/xml-data/corpfiling/AttachHis/27472172-f501-43b4-bfea-2d22eda5b637.pdf" TargetMode="External"/><Relationship Id="rId18" Type="http://schemas.openxmlformats.org/officeDocument/2006/relationships/hyperlink" Target="https://www.bseindia.com/xml-data/corpfiling/AttachHis/cadeef7a-138a-4e88-abf5-2285a34d9383.pdf" TargetMode="External"/><Relationship Id="rId26" Type="http://schemas.openxmlformats.org/officeDocument/2006/relationships/hyperlink" Target="https://www.bseindia.com/xml-data/corpfiling/AttachHis/fc202c10-6ea5-4442-b480-7785e67736e9.pdf" TargetMode="External"/><Relationship Id="rId3" Type="http://schemas.openxmlformats.org/officeDocument/2006/relationships/hyperlink" Target="https://bseindia.com/xml-data/corpfiling/AttachHis/52af87d5-25a4-45c8-aad3-78626bd1a474.pdf" TargetMode="External"/><Relationship Id="rId21" Type="http://schemas.openxmlformats.org/officeDocument/2006/relationships/hyperlink" Target="https://www.bseindia.com/xml-data/corpfiling/AttachHis/07eae3e3-fc2e-44b3-9709-da47560b4f0a.pdf" TargetMode="External"/><Relationship Id="rId7" Type="http://schemas.openxmlformats.org/officeDocument/2006/relationships/hyperlink" Target="https://www.bseindia.com/xml-data/corpfiling/AttachHis/a8097585-aeec-49ae-9525-cebf604d1aaf.pdf" TargetMode="External"/><Relationship Id="rId12" Type="http://schemas.openxmlformats.org/officeDocument/2006/relationships/hyperlink" Target="https://www.bseindia.com/xml-data/corpfiling/AttachHis/b14ca7a2-bf6b-4ee2-be75-9db8bae2c8f4.pdf" TargetMode="External"/><Relationship Id="rId17" Type="http://schemas.openxmlformats.org/officeDocument/2006/relationships/hyperlink" Target="https://www.bseindia.com/xml-data/corpfiling/AttachHis/479e8327-282f-4bb6-9a41-a7d3ffb13143.pdf" TargetMode="External"/><Relationship Id="rId25" Type="http://schemas.openxmlformats.org/officeDocument/2006/relationships/hyperlink" Target="https://www.bseindia.com/xml-data/corpfiling/AttachHis/4bbf5be6-b8d6-4c4b-93e0-d9e5ed244f03.pdf" TargetMode="External"/><Relationship Id="rId2" Type="http://schemas.openxmlformats.org/officeDocument/2006/relationships/hyperlink" Target="https://www.bseindia.com/xml-data/corpfiling/AttachHis/a9bee337-d3ac-428e-b3eb-9fe3bf141942.pdf" TargetMode="External"/><Relationship Id="rId16" Type="http://schemas.openxmlformats.org/officeDocument/2006/relationships/hyperlink" Target="https://www.bseindia.com/xml-data/corpfiling/AttachHis/1e497d48-0c27-4c5b-811c-7658d2bfbf12.pdf" TargetMode="External"/><Relationship Id="rId20" Type="http://schemas.openxmlformats.org/officeDocument/2006/relationships/hyperlink" Target="https://www.bseindia.com/xml-data/corpfiling/AttachHis/d84288eb-224d-4315-8ca8-0327ab543ee2.pdf" TargetMode="External"/><Relationship Id="rId29" Type="http://schemas.openxmlformats.org/officeDocument/2006/relationships/hyperlink" Target="https://www.bseindia.com/xml-data/corpfiling/AttachHis/fea041df-8810-409c-94b9-e89ad604024e.pdf" TargetMode="External"/><Relationship Id="rId1" Type="http://schemas.openxmlformats.org/officeDocument/2006/relationships/hyperlink" Target="https://www.bseindia.com/xml-data/corpfiling/AttachHis/7ecb9005-13d6-4ea3-8cad-7fe05bffd54e.pdf" TargetMode="External"/><Relationship Id="rId6" Type="http://schemas.openxmlformats.org/officeDocument/2006/relationships/hyperlink" Target="https://www.bseindia.com/xml-data/corpfiling/AttachHis/eb24ba27-a9eb-42ca-b4dd-29312337bdcf.pdf" TargetMode="External"/><Relationship Id="rId11" Type="http://schemas.openxmlformats.org/officeDocument/2006/relationships/hyperlink" Target="https://www.bseindia.com/xml-data/corpfiling/AttachHis/9bdee60f-06e1-4486-a933-6c890b79602a.pdf" TargetMode="External"/><Relationship Id="rId24" Type="http://schemas.openxmlformats.org/officeDocument/2006/relationships/hyperlink" Target="https://www.bseindia.com/xml-data/corpfiling/AttachHis/3a8cdf98-78aa-4e2b-ad29-5d1a3158e89b.pdf" TargetMode="External"/><Relationship Id="rId5" Type="http://schemas.openxmlformats.org/officeDocument/2006/relationships/hyperlink" Target="https://www.bseindia.com/xml-data/corpfiling/AttachHis/eb24ba27-a9eb-42ca-b4dd-29312337bdcf.pdf" TargetMode="External"/><Relationship Id="rId15" Type="http://schemas.openxmlformats.org/officeDocument/2006/relationships/hyperlink" Target="https://www.bseindia.com/xml-data/corpfiling/AttachHis/01fbc9b3-3e17-4de2-8d46-4228c8de2550.pdf" TargetMode="External"/><Relationship Id="rId23" Type="http://schemas.openxmlformats.org/officeDocument/2006/relationships/hyperlink" Target="https://www.bseindia.com/xml-data/corpfiling/AttachHis/2c0eecbf-b80b-4bb9-bdab-7ee327518b7d.pdf" TargetMode="External"/><Relationship Id="rId28" Type="http://schemas.openxmlformats.org/officeDocument/2006/relationships/hyperlink" Target="https://www.bseindia.com/xml-data/corpfiling/AttachHis/595c2660-0101-4f9b-a8a0-06bfaa5e1f77.pdf" TargetMode="External"/><Relationship Id="rId10" Type="http://schemas.openxmlformats.org/officeDocument/2006/relationships/hyperlink" Target="https://www.bseindia.com/xml-data/corpfiling/AttachHis/28441e71-335d-47a6-a86e-2bff25286d57.pdf" TargetMode="External"/><Relationship Id="rId19" Type="http://schemas.openxmlformats.org/officeDocument/2006/relationships/hyperlink" Target="https://www.bseindia.com/xml-data/corpfiling/AttachHis/09aaabc3-d276-44a4-b240-f217c79c7333.pdf" TargetMode="External"/><Relationship Id="rId31" Type="http://schemas.openxmlformats.org/officeDocument/2006/relationships/hyperlink" Target="https://www.afaqs.com/news/brands/reliance-consumer-to-acquire-50-stake-in-sasyo-hajoori-beverages" TargetMode="External"/><Relationship Id="rId4" Type="http://schemas.openxmlformats.org/officeDocument/2006/relationships/hyperlink" Target="https://www.bseindia.com/xml-data/corpfiling/AttachHis/2919b815-f54c-41e2-894d-65994e51f770.pdf" TargetMode="External"/><Relationship Id="rId9" Type="http://schemas.openxmlformats.org/officeDocument/2006/relationships/hyperlink" Target="https://www.bseindia.com/xml-data/corpfiling/AttachHis/4c77fffc-daff-4dad-8633-13be1e459dfe.pdf" TargetMode="External"/><Relationship Id="rId14" Type="http://schemas.openxmlformats.org/officeDocument/2006/relationships/hyperlink" Target="https://www.bseindia.com/xml-data/corpfiling/AttachHis/32224d77-4090-4b97-9c64-a9b3319a3b5e.pdf" TargetMode="External"/><Relationship Id="rId22" Type="http://schemas.openxmlformats.org/officeDocument/2006/relationships/hyperlink" Target="https://www.bseindia.com/xml-data/corpfiling/AttachHis/07eae3e3-fc2e-44b3-9709-da47560b4f0a.pdf" TargetMode="External"/><Relationship Id="rId27" Type="http://schemas.openxmlformats.org/officeDocument/2006/relationships/hyperlink" Target="https://www.bseindia.com/xml-data/corpfiling/AttachHis/9eec263b-6a51-4a93-bb9c-4d767c184732.pdf" TargetMode="External"/><Relationship Id="rId30" Type="http://schemas.openxmlformats.org/officeDocument/2006/relationships/hyperlink" Target="https://www.dtnext.in/amp/story/news/business/reliance-acquires-soft-drink-brand-campa-as-part-of-expans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bseindia.com/xml-data/corpfiling/AttachHis/7fba52ba-0385-411a-a015-554d602cdb2c.pdf" TargetMode="External"/><Relationship Id="rId13" Type="http://schemas.openxmlformats.org/officeDocument/2006/relationships/hyperlink" Target="https://www.bseindia.com/xml-data/corpfiling/AttachHis/eafdff8f-cb1c-455f-9402-fff424b8ee37.pdf" TargetMode="External"/><Relationship Id="rId18" Type="http://schemas.openxmlformats.org/officeDocument/2006/relationships/hyperlink" Target="https://www.bseindia.com/bseplus/AnnualReport/500800/5008000320.pdf" TargetMode="External"/><Relationship Id="rId26" Type="http://schemas.openxmlformats.org/officeDocument/2006/relationships/hyperlink" Target="https://www.bseindia.com/bseplus/AnnualReport/533229/73482533229.pdf" TargetMode="External"/><Relationship Id="rId3" Type="http://schemas.openxmlformats.org/officeDocument/2006/relationships/hyperlink" Target="https://www.bseindia.com/xml-data/corpfiling/AttachHis/dbf3868a-97f3-43ed-b5ce-47e83261fdc4.pdf" TargetMode="External"/><Relationship Id="rId21" Type="http://schemas.openxmlformats.org/officeDocument/2006/relationships/hyperlink" Target="https://www.bseindia.com/bseplus/AnnualReport/500875/5008750320.pdf" TargetMode="External"/><Relationship Id="rId7" Type="http://schemas.openxmlformats.org/officeDocument/2006/relationships/hyperlink" Target="https://www.bseindia.com/bseplus/AnnualReport/531642/5316420320.pdf" TargetMode="External"/><Relationship Id="rId12" Type="http://schemas.openxmlformats.org/officeDocument/2006/relationships/hyperlink" Target="https://www.bseindia.com/xml-data/corpfiling/AttachHis/44575d54-1aad-467f-b360-4098a29f22d2.pdf" TargetMode="External"/><Relationship Id="rId17" Type="http://schemas.openxmlformats.org/officeDocument/2006/relationships/hyperlink" Target="https://www.bseindia.com/xml-data/corpfiling/AttachHis/c0f1ba05-3b73-4ae8-b105-709cf2f22ea3.pdf" TargetMode="External"/><Relationship Id="rId25" Type="http://schemas.openxmlformats.org/officeDocument/2006/relationships/hyperlink" Target="https://www.bseindia.com/bseplus/AnnualReport/533229/73482533229.pdf" TargetMode="External"/><Relationship Id="rId2" Type="http://schemas.openxmlformats.org/officeDocument/2006/relationships/hyperlink" Target="https://www.bseindia.com/bseplus/AnnualReport/500696/5006960320.pdf" TargetMode="External"/><Relationship Id="rId16" Type="http://schemas.openxmlformats.org/officeDocument/2006/relationships/hyperlink" Target="https://www.bseindia.com/xml-data/corpfiling/AttachHis/c0f1ba05-3b73-4ae8-b105-709cf2f22ea3.pdf" TargetMode="External"/><Relationship Id="rId20" Type="http://schemas.openxmlformats.org/officeDocument/2006/relationships/hyperlink" Target="https://www.bseindia.com/xml-data/corpfiling/AttachHis/316c7dec-30ff-437b-8fe1-8f515bebcaf8.pdf" TargetMode="External"/><Relationship Id="rId29" Type="http://schemas.openxmlformats.org/officeDocument/2006/relationships/hyperlink" Target="https://www.bseindia.com/xml-data/corpfiling/AttachHis/b55b5dfc-a3bf-4f24-9d7f-ca09774a1dd9.pdf" TargetMode="External"/><Relationship Id="rId1" Type="http://schemas.openxmlformats.org/officeDocument/2006/relationships/hyperlink" Target="https://www.bseindia.com/bseplus/AnnualReport/500696/5006960320.pdf" TargetMode="External"/><Relationship Id="rId6" Type="http://schemas.openxmlformats.org/officeDocument/2006/relationships/hyperlink" Target="https://marico.com/media_pdf/press-release-marico-limited-launches-ayurvedic-products.pdf" TargetMode="External"/><Relationship Id="rId11" Type="http://schemas.openxmlformats.org/officeDocument/2006/relationships/hyperlink" Target="https://bseindia.com/xml-data/corpfiling/AttachHis/74ed43be-519b-4442-920a-9d400ee5e170.pdf" TargetMode="External"/><Relationship Id="rId24" Type="http://schemas.openxmlformats.org/officeDocument/2006/relationships/hyperlink" Target="https://www.bseindia.com/bseplus/AnnualReport/533229/65052533229.pdf" TargetMode="External"/><Relationship Id="rId5" Type="http://schemas.openxmlformats.org/officeDocument/2006/relationships/hyperlink" Target="https://www.bseindia.com/xml-data/corpfiling/AttachHis/dbf3868a-97f3-43ed-b5ce-47e83261fdc4.pdf" TargetMode="External"/><Relationship Id="rId15" Type="http://schemas.openxmlformats.org/officeDocument/2006/relationships/hyperlink" Target="https://dabur.com/press-releases/dabur-enters-health-food-drink-category-dabur-vita" TargetMode="External"/><Relationship Id="rId23" Type="http://schemas.openxmlformats.org/officeDocument/2006/relationships/hyperlink" Target="https://www.bseindia.com/bseplus/AnnualReport/500875/5008750320.pdf" TargetMode="External"/><Relationship Id="rId28" Type="http://schemas.openxmlformats.org/officeDocument/2006/relationships/hyperlink" Target="https://rilstaticasset.akamaized.net/sites/default/files/2022-12/Media-Release-RRVL-15122022.pdf" TargetMode="External"/><Relationship Id="rId10" Type="http://schemas.openxmlformats.org/officeDocument/2006/relationships/hyperlink" Target="https://www.bseindia.com/xml-data/corpfiling/AttachHis/dec5ef82-91a6-436e-9568-9071207db3aa.pdf" TargetMode="External"/><Relationship Id="rId19" Type="http://schemas.openxmlformats.org/officeDocument/2006/relationships/hyperlink" Target="https://www.bseindia.com/xml-data/corpfiling/AttachHis/316c7dec-30ff-437b-8fe1-8f515bebcaf8.pdf" TargetMode="External"/><Relationship Id="rId4" Type="http://schemas.openxmlformats.org/officeDocument/2006/relationships/hyperlink" Target="https://www.bseindia.com/xml-data/corpfiling/AttachHis/dbf3868a-97f3-43ed-b5ce-47e83261fdc4.pdf" TargetMode="External"/><Relationship Id="rId9" Type="http://schemas.openxmlformats.org/officeDocument/2006/relationships/hyperlink" Target="https://www.bseindia.com/xml-data/corpfiling/AttachHis/7fba52ba-0385-411a-a015-554d602cdb2c.pdf" TargetMode="External"/><Relationship Id="rId14" Type="http://schemas.openxmlformats.org/officeDocument/2006/relationships/hyperlink" Target="https://www.bseindia.com/bseplus/AnnualReport/532424/5324240319.pdf" TargetMode="External"/><Relationship Id="rId22" Type="http://schemas.openxmlformats.org/officeDocument/2006/relationships/hyperlink" Target="https://www.bseindia.com/bseplus/AnnualReport/500875/5008750320.pdf" TargetMode="External"/><Relationship Id="rId27" Type="http://schemas.openxmlformats.org/officeDocument/2006/relationships/hyperlink" Target="https://www.bseindia.com/xml-data/corpfiling/AttachHis/ef8bd328-7e9d-4789-80b2-216a27e41d31.pdf"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dabur.com/press-releases/dabur-enters-health-food-drink-category-dabur-vita" TargetMode="External"/><Relationship Id="rId21" Type="http://schemas.openxmlformats.org/officeDocument/2006/relationships/hyperlink" Target="https://www.bseindia.com/xml-data/corpfiling/AttachHis/3e6e2dd7-a39b-4ef1-975e-8919ac8ce84e.pdf" TargetMode="External"/><Relationship Id="rId42" Type="http://schemas.openxmlformats.org/officeDocument/2006/relationships/hyperlink" Target="https://www.bseindia.com/xml-data/corpfiling/AttachHis/734e383e-da03-4b94-ad73-36b9f9c10cc8.pdf" TargetMode="External"/><Relationship Id="rId63" Type="http://schemas.openxmlformats.org/officeDocument/2006/relationships/hyperlink" Target="https://www.storyboard18.com/brand-marketing/marico-integrates-rs-214-crore-beardo-business-into-parent-88319.htm" TargetMode="External"/><Relationship Id="rId84" Type="http://schemas.openxmlformats.org/officeDocument/2006/relationships/hyperlink" Target="https://www.bseindia.com/xml-data/corpfiling/AttachHis/224200c3-20e9-4025-84af-b4bbfe9c5990.pdf" TargetMode="External"/><Relationship Id="rId138" Type="http://schemas.openxmlformats.org/officeDocument/2006/relationships/hyperlink" Target="https://www.bseindia.com/xml-data/corpfiling/AttachHis/139aec7a-7a7c-458f-ac5a-29f6dbe67c93.pdf" TargetMode="External"/><Relationship Id="rId159" Type="http://schemas.openxmlformats.org/officeDocument/2006/relationships/hyperlink" Target="https://www.bseindia.com/xml-data/corpfiling/AttachHis/5832fc49-7be6-4ab2-ac1f-e570fbe601eb.pdf" TargetMode="External"/><Relationship Id="rId170" Type="http://schemas.openxmlformats.org/officeDocument/2006/relationships/hyperlink" Target="https://www.bseindia.com/xml-data/corpfiling/AttachHis/e96ee6b3-76bd-448f-aba2-15ac8c042994.pdf" TargetMode="External"/><Relationship Id="rId191" Type="http://schemas.openxmlformats.org/officeDocument/2006/relationships/hyperlink" Target="https://www.bseindia.com/xml-data/corpfiling/AttachHis/2e64d5e7-7432-4fad-8f31-bf540f1eeda9.pdf" TargetMode="External"/><Relationship Id="rId205" Type="http://schemas.openxmlformats.org/officeDocument/2006/relationships/hyperlink" Target="https://www.bseindia.com/xml-data/corpfiling/AttachHis/cc08294f-ec68-4f15-aaa4-c14a3c4bdfb2.pdf" TargetMode="External"/><Relationship Id="rId107" Type="http://schemas.openxmlformats.org/officeDocument/2006/relationships/hyperlink" Target="https://www.bseindia.com/xml-data/corpfiling/AttachHis/d5ccc8eb-f66e-4cd5-b0a8-f84f95201fec.pdf" TargetMode="External"/><Relationship Id="rId11" Type="http://schemas.openxmlformats.org/officeDocument/2006/relationships/hyperlink" Target="https://www.bseindia.com/xml-data/corpfiling/AttachHis/85664ebb-3e33-4717-b011-309cb8c3bb8c.pdf" TargetMode="External"/><Relationship Id="rId32" Type="http://schemas.openxmlformats.org/officeDocument/2006/relationships/hyperlink" Target="https://www.bseindia.com/xml-data/corpfiling/AttachHis/d36b16a3-f2c3-42c0-802d-7ca5dc491d77.pdf" TargetMode="External"/><Relationship Id="rId53" Type="http://schemas.openxmlformats.org/officeDocument/2006/relationships/hyperlink" Target="https://www.bseindia.com/xml-data/corpfiling/AttachHis/a081acb0-7eaf-4037-b471-5921ae07d2d9.pdf" TargetMode="External"/><Relationship Id="rId74" Type="http://schemas.openxmlformats.org/officeDocument/2006/relationships/hyperlink" Target="https://www.bseindia.com/xml-data/corpfiling/AttachHis/9e4fa0ca-46f8-423c-9994-928347978912.pdf" TargetMode="External"/><Relationship Id="rId128" Type="http://schemas.openxmlformats.org/officeDocument/2006/relationships/hyperlink" Target="https://www.bseindia.com/bseplus/AnnualReport/500696/5006960320.pdf" TargetMode="External"/><Relationship Id="rId149" Type="http://schemas.openxmlformats.org/officeDocument/2006/relationships/hyperlink" Target="https://www.bseindia.com/bseplus/AnnualReport/500800/5008000320.pdf" TargetMode="External"/><Relationship Id="rId5" Type="http://schemas.openxmlformats.org/officeDocument/2006/relationships/hyperlink" Target="https://bseindia.com/xml-data/corpfiling/AttachHis/1c2d765b-c83b-4e87-b1cf-15f4bea39542.pdf" TargetMode="External"/><Relationship Id="rId95" Type="http://schemas.openxmlformats.org/officeDocument/2006/relationships/hyperlink" Target="https://www.bseindia.com/xml-data/corpfiling/AttachHis/19ecb322-6aa3-44d7-8f48-9bb8a8e71b51.pdf" TargetMode="External"/><Relationship Id="rId160" Type="http://schemas.openxmlformats.org/officeDocument/2006/relationships/hyperlink" Target="https://www.bseindia.com/xml-data/corpfiling/AttachHis/a96872e8-1acd-4801-91bf-ae002661701a.pdf" TargetMode="External"/><Relationship Id="rId181" Type="http://schemas.openxmlformats.org/officeDocument/2006/relationships/hyperlink" Target="https://www.bseindia.com/xml-data/corpfiling/AttachHis/acb38639-bd05-4105-b1c7-77685191b10d.pdf" TargetMode="External"/><Relationship Id="rId216" Type="http://schemas.openxmlformats.org/officeDocument/2006/relationships/hyperlink" Target="https://inc42.com/company/heads-up-for-tails/financials/" TargetMode="External"/><Relationship Id="rId22" Type="http://schemas.openxmlformats.org/officeDocument/2006/relationships/hyperlink" Target="https://www.bseindia.com/xml-data/corpfiling/AttachHis/773b5f56-46ea-48b7-8007-9613b6d1d546.pdf" TargetMode="External"/><Relationship Id="rId43" Type="http://schemas.openxmlformats.org/officeDocument/2006/relationships/hyperlink" Target="https://bwretailworld.com/fmcg/tata-consumer-products-raises-capital-foods-stake-to-80" TargetMode="External"/><Relationship Id="rId64" Type="http://schemas.openxmlformats.org/officeDocument/2006/relationships/hyperlink" Target="https://www.bseindia.com/xml-data/corpfiling/AttachHis/6d4d60c0-4a9c-4431-a7f9-3667a8836d03.pdf" TargetMode="External"/><Relationship Id="rId118" Type="http://schemas.openxmlformats.org/officeDocument/2006/relationships/hyperlink" Target="https://marico.com/media_pdf/press-release-marico-limited-launches-ayurvedic-products.pdf" TargetMode="External"/><Relationship Id="rId139" Type="http://schemas.openxmlformats.org/officeDocument/2006/relationships/hyperlink" Target="https://www.bseindia.com/xml-data/corpfiling/AttachHis/f0d1e906-3c13-4993-ad06-e04ad1d3edf9.pdf" TargetMode="External"/><Relationship Id="rId85" Type="http://schemas.openxmlformats.org/officeDocument/2006/relationships/hyperlink" Target="https://www.bseindia.com/xml-data/corpfiling/AttachHis/4cf897a1-fc64-404d-8465-14f7555f5a60.pdf" TargetMode="External"/><Relationship Id="rId150" Type="http://schemas.openxmlformats.org/officeDocument/2006/relationships/hyperlink" Target="https://www.bseindia.com/bseplus/AnnualReport/500800/68500500800.pdf" TargetMode="External"/><Relationship Id="rId171" Type="http://schemas.openxmlformats.org/officeDocument/2006/relationships/hyperlink" Target="https://www.bseindia.com/bseplus/AnnualReport/500096/5000960320.pdf" TargetMode="External"/><Relationship Id="rId192" Type="http://schemas.openxmlformats.org/officeDocument/2006/relationships/hyperlink" Target="https://www.bseindia.com/bseplus/AnnualReport/533229/65052533229.pdf" TargetMode="External"/><Relationship Id="rId206" Type="http://schemas.openxmlformats.org/officeDocument/2006/relationships/hyperlink" Target="https://web.archive.org/cdx/search/cdx" TargetMode="External"/><Relationship Id="rId12" Type="http://schemas.openxmlformats.org/officeDocument/2006/relationships/hyperlink" Target="https://www.bseindia.com/xml-data/corpfiling/AttachHis/d954777a-1d5b-4f96-82fb-710b2fdaf7bf.pdf" TargetMode="External"/><Relationship Id="rId33" Type="http://schemas.openxmlformats.org/officeDocument/2006/relationships/hyperlink" Target="https://www.bseindia.com/xml-data/corpfiling/AttachHis/aec2824c-94e6-44da-a190-aac40e8a14ee.pdf" TargetMode="External"/><Relationship Id="rId108" Type="http://schemas.openxmlformats.org/officeDocument/2006/relationships/hyperlink" Target="https://www.bseindia.com/xml-data/corpfiling/AttachHis/96e56fcf-3d2f-4f9b-92a9-4108d792a566.pdf" TargetMode="External"/><Relationship Id="rId129" Type="http://schemas.openxmlformats.org/officeDocument/2006/relationships/hyperlink" Target="https://www.bseindia.com/bseplus/AnnualReport/500696/68482500696.pdf" TargetMode="External"/><Relationship Id="rId54" Type="http://schemas.openxmlformats.org/officeDocument/2006/relationships/hyperlink" Target="https://www.bseindia.com/xml-data/corpfiling/AttachHis/32224d77-4090-4b97-9c64-a9b3319a3b5e.pdf" TargetMode="External"/><Relationship Id="rId75" Type="http://schemas.openxmlformats.org/officeDocument/2006/relationships/hyperlink" Target="https://www.bseindia.com/xml-data/corpfiling/AttachHis/48e68f82-81f8-4830-8909-261103c45d60.pdf" TargetMode="External"/><Relationship Id="rId96" Type="http://schemas.openxmlformats.org/officeDocument/2006/relationships/hyperlink" Target="https://www.bseindia.com/xml-data/corpfiling/AttachHis/4bbf5be6-b8d6-4c4b-93e0-d9e5ed244f03.pdf" TargetMode="External"/><Relationship Id="rId140" Type="http://schemas.openxmlformats.org/officeDocument/2006/relationships/hyperlink" Target="https://www.bseindia.com/xml-data/corpfiling/AttachHis/8ba4a189-5fd2-4851-af6f-ec365f7edea2.pdf" TargetMode="External"/><Relationship Id="rId161" Type="http://schemas.openxmlformats.org/officeDocument/2006/relationships/hyperlink" Target="https://www.bseindia.com/xml-data/corpfiling/AttachHis/e571dc22-d936-41e4-9c14-26ddd2ccd937.pdf" TargetMode="External"/><Relationship Id="rId182" Type="http://schemas.openxmlformats.org/officeDocument/2006/relationships/hyperlink" Target="https://www.bseindia.com/xml-data/corpfiling/AttachHis/08cb573e-4312-49fb-94bf-ca727bf5e692.pdf" TargetMode="External"/><Relationship Id="rId6" Type="http://schemas.openxmlformats.org/officeDocument/2006/relationships/hyperlink" Target="https://www.unilever.com/news/press-and-media/press-releases/2025/hul-to-acquire-premium-beauty-brand-minimalist/" TargetMode="External"/><Relationship Id="rId23" Type="http://schemas.openxmlformats.org/officeDocument/2006/relationships/hyperlink" Target="https://www.bseindia.com/xml-data/corpfiling/AttachHis/a8097585-aeec-49ae-9525-cebf604d1aaf.pdf" TargetMode="External"/><Relationship Id="rId119" Type="http://schemas.openxmlformats.org/officeDocument/2006/relationships/hyperlink" Target="https://godrejcp.com/public/uploads/press_release/GPC_press_release.pdf" TargetMode="External"/><Relationship Id="rId44" Type="http://schemas.openxmlformats.org/officeDocument/2006/relationships/hyperlink" Target="https://tataconsumer.com/integrated-annual-report/explore-new-opportunities.html" TargetMode="External"/><Relationship Id="rId65" Type="http://schemas.openxmlformats.org/officeDocument/2006/relationships/hyperlink" Target="https://www.bseindia.com/xml-data/corpfiling/AttachHis/479e8327-282f-4bb6-9a41-a7d3ffb13143.pdf" TargetMode="External"/><Relationship Id="rId86" Type="http://schemas.openxmlformats.org/officeDocument/2006/relationships/hyperlink" Target="https://www.bseindia.com/xml-data/corpfiling/AttachHis/b02daee6-3795-4d51-880c-96343f716249.pdf" TargetMode="External"/><Relationship Id="rId130" Type="http://schemas.openxmlformats.org/officeDocument/2006/relationships/hyperlink" Target="https://www.bseindia.com/bseplus/AnnualReport/500696/73027500696.pdf" TargetMode="External"/><Relationship Id="rId151" Type="http://schemas.openxmlformats.org/officeDocument/2006/relationships/hyperlink" Target="https://www.bseindia.com/bseplus/AnnualReport/500800/73101500800.pdf" TargetMode="External"/><Relationship Id="rId172" Type="http://schemas.openxmlformats.org/officeDocument/2006/relationships/hyperlink" Target="https://www.bseindia.com/bseplus/AnnualReport/500096/69003500096_28_07_21.pdf" TargetMode="External"/><Relationship Id="rId193" Type="http://schemas.openxmlformats.org/officeDocument/2006/relationships/hyperlink" Target="https://www.bseindia.com/bseplus/AnnualReport/533229/68486533229.pdf" TargetMode="External"/><Relationship Id="rId207" Type="http://schemas.openxmlformats.org/officeDocument/2006/relationships/hyperlink" Target="https://web.archive.org/cdx/search/cdx" TargetMode="External"/><Relationship Id="rId13" Type="http://schemas.openxmlformats.org/officeDocument/2006/relationships/hyperlink" Target="https://www.bseindia.com/xml-data/corpfiling/AttachHis/2919b815-f54c-41e2-894d-65994e51f770.pdf" TargetMode="External"/><Relationship Id="rId109" Type="http://schemas.openxmlformats.org/officeDocument/2006/relationships/hyperlink" Target="https://www.bseindia.com/xml-data/corpfiling/AttachHis/6a9745a4-a7c8-4281-830d-2d92b21a263e.pdf" TargetMode="External"/><Relationship Id="rId34" Type="http://schemas.openxmlformats.org/officeDocument/2006/relationships/hyperlink" Target="https://www.bseindia.com/xml-data/corpfiling/AttachHis/6b5c78ca-543a-4181-8f13-c0b10991f345.pdf" TargetMode="External"/><Relationship Id="rId55" Type="http://schemas.openxmlformats.org/officeDocument/2006/relationships/hyperlink" Target="https://www.bseindia.com/xml-data/corpfiling/AttachHis/0d48ca42-672c-4f3e-8f93-15796bbabc48.pdf" TargetMode="External"/><Relationship Id="rId76" Type="http://schemas.openxmlformats.org/officeDocument/2006/relationships/hyperlink" Target="https://www.outlookbusiness.com/corporate/dabur-q4fy26-cons-pat-rises-15-yoy-550-dividend-announced" TargetMode="External"/><Relationship Id="rId97" Type="http://schemas.openxmlformats.org/officeDocument/2006/relationships/hyperlink" Target="https://www.bseindia.com/xml-data/corpfiling/AttachHis/a3aa1a3f-66c5-4e71-a31f-a4531c0f9212.pdf" TargetMode="External"/><Relationship Id="rId120" Type="http://schemas.openxmlformats.org/officeDocument/2006/relationships/hyperlink" Target="https://honasa.in/cdn/shop/files/Press_Release_12.11.2025.pdf" TargetMode="External"/><Relationship Id="rId141" Type="http://schemas.openxmlformats.org/officeDocument/2006/relationships/hyperlink" Target="https://www.bseindia.com/xml-data/corpfiling/AttachHis/590b42ae-15c9-44cf-be69-e58053128a6b.pdf" TargetMode="External"/><Relationship Id="rId7" Type="http://schemas.openxmlformats.org/officeDocument/2006/relationships/hyperlink" Target="https://www.bseindia.com/xml-data/corpfiling/AttachHis/7ecb9005-13d6-4ea3-8cad-7fe05bffd54e.pdf" TargetMode="External"/><Relationship Id="rId162" Type="http://schemas.openxmlformats.org/officeDocument/2006/relationships/hyperlink" Target="https://www.bseindia.com/xml-data/corpfiling/AttachHis/44575d54-1aad-467f-b360-4098a29f22d2.pdf" TargetMode="External"/><Relationship Id="rId183" Type="http://schemas.openxmlformats.org/officeDocument/2006/relationships/hyperlink" Target="https://www.bseindia.com/xml-data/corpfiling/AttachHis/b4db8955-ab3f-49fe-b8d0-b9243f19dbd0.pdf" TargetMode="External"/><Relationship Id="rId24" Type="http://schemas.openxmlformats.org/officeDocument/2006/relationships/hyperlink" Target="https://www.bseindia.com/xml-data/corpfiling/AttachHis/94470493-66cf-40a2-868c-9f0982d84c6b.pdf" TargetMode="External"/><Relationship Id="rId45" Type="http://schemas.openxmlformats.org/officeDocument/2006/relationships/hyperlink" Target="https://www.bseindia.com/xml-data/corpfiling/AttachHis/9bdee60f-06e1-4486-a933-6c890b79602a.pdf" TargetMode="External"/><Relationship Id="rId66" Type="http://schemas.openxmlformats.org/officeDocument/2006/relationships/hyperlink" Target="https://www.bseindia.com/xml-data/corpfiling/AttachHis/76ef4351-9f81-4266-8677-4b4f3d375f5f.pdf" TargetMode="External"/><Relationship Id="rId87" Type="http://schemas.openxmlformats.org/officeDocument/2006/relationships/hyperlink" Target="https://www.storyboard18.com/brand-marketing/nykaa-raises-stake-in-d2c-skincare-brand-dot-acquires-earth-rhythm-39489.htm" TargetMode="External"/><Relationship Id="rId110" Type="http://schemas.openxmlformats.org/officeDocument/2006/relationships/hyperlink" Target="https://www.bseindia.com/xml-data/corpfiling/AttachHis/fea041df-8810-409c-94b9-e89ad604024e.pdf" TargetMode="External"/><Relationship Id="rId131" Type="http://schemas.openxmlformats.org/officeDocument/2006/relationships/hyperlink" Target="https://www.bseindia.com/xml-data/corpfiling/AttachHis/dbf3868a-97f3-43ed-b5ce-47e83261fdc4.pdf" TargetMode="External"/><Relationship Id="rId152" Type="http://schemas.openxmlformats.org/officeDocument/2006/relationships/hyperlink" Target="https://www.bseindia.com/xml-data/corpfiling/AttachHis/c0f1ba05-3b73-4ae8-b105-709cf2f22ea3.pdf" TargetMode="External"/><Relationship Id="rId173" Type="http://schemas.openxmlformats.org/officeDocument/2006/relationships/hyperlink" Target="https://www.bseindia.com/bseplus/AnnualReport/500096/73713500096.pdf" TargetMode="External"/><Relationship Id="rId194" Type="http://schemas.openxmlformats.org/officeDocument/2006/relationships/hyperlink" Target="https://www.bseindia.com/bseplus/AnnualReport/533229/73482533229.pdf" TargetMode="External"/><Relationship Id="rId208" Type="http://schemas.openxmlformats.org/officeDocument/2006/relationships/hyperlink" Target="https://entrackr.com/2024/09/d2c-brand-minimalist-posts-rs-350-cr-revenue-in-fy24-profits-double" TargetMode="External"/><Relationship Id="rId19" Type="http://schemas.openxmlformats.org/officeDocument/2006/relationships/hyperlink" Target="https://www.bseindia.com/xml-data/corpfiling/AttachHis/e9d9270c-e610-444d-9ab6-4a4b60a02a88.pdf" TargetMode="External"/><Relationship Id="rId14" Type="http://schemas.openxmlformats.org/officeDocument/2006/relationships/hyperlink" Target="https://www.bseindia.com/xml-data/corpfiling/AttachHis/b73174dc-3be1-4791-bb05-bce545ec7f84.pdf" TargetMode="External"/><Relationship Id="rId30" Type="http://schemas.openxmlformats.org/officeDocument/2006/relationships/hyperlink" Target="https://www.bseindia.com/xml-data/corpfiling/AttachHis/04b2e2f8-da21-4b59-bd7e-cf21c57328e1.pdf" TargetMode="External"/><Relationship Id="rId35" Type="http://schemas.openxmlformats.org/officeDocument/2006/relationships/hyperlink" Target="https://www.bseindia.com/xml-data/corpfiling/AttachHis/a46f15bb-04f0-48e8-8cd0-ed528b8fc44a.pdf" TargetMode="External"/><Relationship Id="rId56" Type="http://schemas.openxmlformats.org/officeDocument/2006/relationships/hyperlink" Target="https://www.bseindia.com/xml-data/corpfiling/AttachHis/fcae2276-5e43-4f45-a442-d3f227b724d1.pdf" TargetMode="External"/><Relationship Id="rId77" Type="http://schemas.openxmlformats.org/officeDocument/2006/relationships/hyperlink" Target="https://www.bseindia.com/xml-data/corpfiling/AttachHis/b725c364-3c3d-43b0-b74d-533581aca349.pdf" TargetMode="External"/><Relationship Id="rId100" Type="http://schemas.openxmlformats.org/officeDocument/2006/relationships/hyperlink" Target="https://www.bseindia.com/xml-data/corpfiling/AttachHis/fc202c10-6ea5-4442-b480-7785e67736e9.pdf" TargetMode="External"/><Relationship Id="rId105" Type="http://schemas.openxmlformats.org/officeDocument/2006/relationships/hyperlink" Target="https://www.bseindia.com/xml-data/corpfiling/AttachHis/62fda9cc-ecbc-464a-9aa6-236bb2b3378e.pdf" TargetMode="External"/><Relationship Id="rId126" Type="http://schemas.openxmlformats.org/officeDocument/2006/relationships/hyperlink" Target="https://godrejcp.com/annual-reports/2018-19/strategic-pillars/accelerating-innovation-and-building-purposeful-brands" TargetMode="External"/><Relationship Id="rId147" Type="http://schemas.openxmlformats.org/officeDocument/2006/relationships/hyperlink" Target="https://www.bseindia.com/xml-data/corpfiling/AttachHis/b6de7a5d-3f54-420a-bc2c-02b086e01500.pdf" TargetMode="External"/><Relationship Id="rId168" Type="http://schemas.openxmlformats.org/officeDocument/2006/relationships/hyperlink" Target="https://www.bseindia.com/xml-data/corpfiling/AttachHis/316c7dec-30ff-437b-8fe1-8f515bebcaf8.pdf" TargetMode="External"/><Relationship Id="rId8" Type="http://schemas.openxmlformats.org/officeDocument/2006/relationships/hyperlink" Target="https://www.bseindia.com/xml-data/corpfiling/AttachHis/a9bee337-d3ac-428e-b3eb-9fe3bf141942.pdf" TargetMode="External"/><Relationship Id="rId51" Type="http://schemas.openxmlformats.org/officeDocument/2006/relationships/hyperlink" Target="https://www.bseindia.com/xml-data/corpfiling/AttachHis/27472172-f501-43b4-bfea-2d22eda5b637.pdf" TargetMode="External"/><Relationship Id="rId72" Type="http://schemas.openxmlformats.org/officeDocument/2006/relationships/hyperlink" Target="https://www.bseindia.com/xml-data/corpfiling/AttachHis/3ebf3b38-c013-4dba-a534-5d99fcf99841.pdf" TargetMode="External"/><Relationship Id="rId93" Type="http://schemas.openxmlformats.org/officeDocument/2006/relationships/hyperlink" Target="https://www.bseindia.com/xml-data/corpfiling/AttachHis/90d1c45f-87cd-4349-864e-762ce08938e3.pdf" TargetMode="External"/><Relationship Id="rId98" Type="http://schemas.openxmlformats.org/officeDocument/2006/relationships/hyperlink" Target="https://www.business-standard.com/amp/article/markets/emami-acquires-dermicool-brand-for-rs-432-crore-stock-hits-52-week-low-122032800285_1.html" TargetMode="External"/><Relationship Id="rId121" Type="http://schemas.openxmlformats.org/officeDocument/2006/relationships/hyperlink" Target="https://bseindia.com/xml-data/corpfiling/AttachHis/3e13758e-183d-4456-910d-b9bfed01a7e1.pdf" TargetMode="External"/><Relationship Id="rId142" Type="http://schemas.openxmlformats.org/officeDocument/2006/relationships/hyperlink" Target="https://www.bseindia.com/bseplus/AnnualReport/531642/5316420320.pdf" TargetMode="External"/><Relationship Id="rId163" Type="http://schemas.openxmlformats.org/officeDocument/2006/relationships/hyperlink" Target="https://www.bseindia.com/xml-data/corpfiling/AttachHis/dec5ef82-91a6-436e-9568-9071207db3aa.pdf" TargetMode="External"/><Relationship Id="rId184" Type="http://schemas.openxmlformats.org/officeDocument/2006/relationships/hyperlink" Target="https://www.bseindia.com/xml-data/corpfiling/AttachHis/7d60205d-e7f9-4408-86e5-e30e3967b68a.pdf" TargetMode="External"/><Relationship Id="rId189" Type="http://schemas.openxmlformats.org/officeDocument/2006/relationships/hyperlink" Target="https://www.bseindia.com/xml-data/corpfiling/AttachHis/ef8bd328-7e9d-4789-80b2-216a27e41d31.pdf" TargetMode="External"/><Relationship Id="rId3" Type="http://schemas.openxmlformats.org/officeDocument/2006/relationships/hyperlink" Target="https://www.hul.co.in/files/update-on-acquisition-of-shares-of-zywie-ventures-private-limited.pdf" TargetMode="External"/><Relationship Id="rId214" Type="http://schemas.openxmlformats.org/officeDocument/2006/relationships/hyperlink" Target="https://entrackr.com/exclusive/exclusive-heads-up-for-tails-to-raise-25-mn-in-series-b-led-by-apparel-group-10940349" TargetMode="External"/><Relationship Id="rId25" Type="http://schemas.openxmlformats.org/officeDocument/2006/relationships/hyperlink" Target="https://www.bseindia.com/xml-data/corpfiling/AttachHis/827260a2-1bf5-444a-8449-db5cfb253de7.pdf" TargetMode="External"/><Relationship Id="rId46" Type="http://schemas.openxmlformats.org/officeDocument/2006/relationships/hyperlink" Target="https://www.bseindia.com/xml-data/corpfiling/AttachHis/b14ca7a2-bf6b-4ee2-be75-9db8bae2c8f4.pdf" TargetMode="External"/><Relationship Id="rId67" Type="http://schemas.openxmlformats.org/officeDocument/2006/relationships/hyperlink" Target="https://www.bseindia.com/xml-data/corpfiling/AttachHis/cadeef7a-138a-4e88-abf5-2285a34d9383.pdf" TargetMode="External"/><Relationship Id="rId116" Type="http://schemas.openxmlformats.org/officeDocument/2006/relationships/hyperlink" Target="https://rilstaticasset.akamaized.net/sites/default/files/2022-12/Media-Release-RRVL-15122022.pdf" TargetMode="External"/><Relationship Id="rId137" Type="http://schemas.openxmlformats.org/officeDocument/2006/relationships/hyperlink" Target="https://www.bseindia.com/bseplus/AnnualReport/500875/73265500875.pdf" TargetMode="External"/><Relationship Id="rId158" Type="http://schemas.openxmlformats.org/officeDocument/2006/relationships/hyperlink" Target="https://www.bseindia.com/bseplus/AnnualReport/532424/73620532424.pdf" TargetMode="External"/><Relationship Id="rId20" Type="http://schemas.openxmlformats.org/officeDocument/2006/relationships/hyperlink" Target="https://www.bseindia.com/xml-data/corpfiling/AttachHis/eb24ba27-a9eb-42ca-b4dd-29312337bdcf.pdf" TargetMode="External"/><Relationship Id="rId41" Type="http://schemas.openxmlformats.org/officeDocument/2006/relationships/hyperlink" Target="https://www.bseindia.com/xml-data/corpfiling/AttachHis/423a77e2-b348-41e3-91e5-1324492479b6.pdf" TargetMode="External"/><Relationship Id="rId62" Type="http://schemas.openxmlformats.org/officeDocument/2006/relationships/hyperlink" Target="https://www.bseindia.com/xml-data/corpfiling/AttachHis/8999b2a1-88be-4a37-a71c-c21ec50cac18.pdf" TargetMode="External"/><Relationship Id="rId83" Type="http://schemas.openxmlformats.org/officeDocument/2006/relationships/hyperlink" Target="https://www.bseindia.com/xml-data/corpfiling/AttachHis/b37bc566-a9c6-45a4-9127-02a7253187ae.pdf" TargetMode="External"/><Relationship Id="rId88" Type="http://schemas.openxmlformats.org/officeDocument/2006/relationships/hyperlink" Target="https://www.businesstoday.in/latest/corporate/story/ipo-bound-nykaa-acquires-skincare-brand-dot-and-key-310119-2021-10-22" TargetMode="External"/><Relationship Id="rId111" Type="http://schemas.openxmlformats.org/officeDocument/2006/relationships/hyperlink" Target="https://www.bseindia.com/xml-data/corpfiling/AttachHis/9EAB2D92-0114-4779-9BE9-7A3355B52609-161727.pdf" TargetMode="External"/><Relationship Id="rId132" Type="http://schemas.openxmlformats.org/officeDocument/2006/relationships/hyperlink" Target="https://www.bseindia.com/xml-data/corpfiling/AttachHis/02d8d87d-90ce-4191-8b3f-4167267aee8a.pdf" TargetMode="External"/><Relationship Id="rId153" Type="http://schemas.openxmlformats.org/officeDocument/2006/relationships/hyperlink" Target="https://www.bseindia.com/xml-data/corpfiling/AttachHis/166b0feb-ff2c-484f-a942-74fbf8053121.pdf" TargetMode="External"/><Relationship Id="rId174" Type="http://schemas.openxmlformats.org/officeDocument/2006/relationships/hyperlink" Target="https://www.bseindia.com/xml-data/corpfiling/AttachHis/a8dfb6ee-147c-45ab-8d51-4a7fc4ebfacb.pdf" TargetMode="External"/><Relationship Id="rId179" Type="http://schemas.openxmlformats.org/officeDocument/2006/relationships/hyperlink" Target="https://www.bseindia.com/bseplus/AnnualReport/531162/70773531162.pdf" TargetMode="External"/><Relationship Id="rId195" Type="http://schemas.openxmlformats.org/officeDocument/2006/relationships/hyperlink" Target="https://www.bseindia.com/xml-data/corpfiling/AttachHis/13280d5c-1ca5-4226-b919-3a3f4c1f479d.pdf" TargetMode="External"/><Relationship Id="rId209" Type="http://schemas.openxmlformats.org/officeDocument/2006/relationships/hyperlink" Target="https://entrackr.com/fintrackr/hul-owned-minimalist-revenue-spikes-48-to-rs-515-cr-in-fy25-11096050" TargetMode="External"/><Relationship Id="rId190" Type="http://schemas.openxmlformats.org/officeDocument/2006/relationships/hyperlink" Target="https://www.bseindia.com/xml-data/corpfiling/AttachHis/f7dafc64-c1e0-4e8a-80c1-36a9115fba8f.pdf" TargetMode="External"/><Relationship Id="rId204" Type="http://schemas.openxmlformats.org/officeDocument/2006/relationships/hyperlink" Target="https://www.bseindia.com/xml-data/corpfiling/AttachHis/468b09a3-a212-4066-bbaa-4b0ba524d2ce.pdf" TargetMode="External"/><Relationship Id="rId15" Type="http://schemas.openxmlformats.org/officeDocument/2006/relationships/hyperlink" Target="https://www.bseindia.com/xml-data/corpfiling/AttachHis/5f8b4f58-8459-4a20-968f-0ed992923469.pdf" TargetMode="External"/><Relationship Id="rId36" Type="http://schemas.openxmlformats.org/officeDocument/2006/relationships/hyperlink" Target="https://www.bseindia.com/xml-data/corpfiling/AttachHis/4c77fffc-daff-4dad-8633-13be1e459dfe.pdf" TargetMode="External"/><Relationship Id="rId57" Type="http://schemas.openxmlformats.org/officeDocument/2006/relationships/hyperlink" Target="https://www.bseindia.com/xml-data/corpfiling/AttachHis/89c945d9-8c7b-426e-9503-c1c0430cc424.pdf" TargetMode="External"/><Relationship Id="rId106" Type="http://schemas.openxmlformats.org/officeDocument/2006/relationships/hyperlink" Target="https://www.bseindia.com/xml-data/corpfiling/AttachHis/5f38ea98-eab9-4b6c-8ddd-e22255c5bd40.pdf" TargetMode="External"/><Relationship Id="rId127" Type="http://schemas.openxmlformats.org/officeDocument/2006/relationships/hyperlink" Target="https://www.bseindia.com/bseplus/AnnualReport/532424/5324240319.pdf" TargetMode="External"/><Relationship Id="rId10" Type="http://schemas.openxmlformats.org/officeDocument/2006/relationships/hyperlink" Target="https://www.bseindia.com/xml-data/corpfiling/AttachHis/1cafc68f-8547-4920-9727-ce8cf50cb540.pdf" TargetMode="External"/><Relationship Id="rId31" Type="http://schemas.openxmlformats.org/officeDocument/2006/relationships/hyperlink" Target="https://www.bseindia.com/xml-data/corpfiling/AttachHis/8eac2987-9924-4131-b4da-af66c3b06041.pdf" TargetMode="External"/><Relationship Id="rId52" Type="http://schemas.openxmlformats.org/officeDocument/2006/relationships/hyperlink" Target="https://www.bseindia.com/xml-data/corpfiling/AttachHis/a04fbe19-bb73-4ccc-83df-c1992aab64ad.pdf" TargetMode="External"/><Relationship Id="rId73" Type="http://schemas.openxmlformats.org/officeDocument/2006/relationships/hyperlink" Target="https://www.bseindia.com/xml-data/corpfiling/AttachHis/eafdff8f-cb1c-455f-9402-fff424b8ee37.pdf" TargetMode="External"/><Relationship Id="rId78" Type="http://schemas.openxmlformats.org/officeDocument/2006/relationships/hyperlink" Target="https://www.bseindia.com/xml-data/corpfiling/AttachHis/7fe70c62-4b66-426f-ae2d-bfde5e8d40ef.pdf" TargetMode="External"/><Relationship Id="rId94" Type="http://schemas.openxmlformats.org/officeDocument/2006/relationships/hyperlink" Target="https://www.bseindia.com/xml-data/corpfiling/AttachHis/3a8cdf98-78aa-4e2b-ad29-5d1a3158e89b.pdf" TargetMode="External"/><Relationship Id="rId99" Type="http://schemas.openxmlformats.org/officeDocument/2006/relationships/hyperlink" Target="https://www.campaignindia.in/article/emami-acquires-reckitts-dermicool/476761" TargetMode="External"/><Relationship Id="rId101" Type="http://schemas.openxmlformats.org/officeDocument/2006/relationships/hyperlink" Target="https://www.bseindia.com/xml-data/corpfiling/AttachHis/2da0828a-e315-4768-a990-7a357fb1df28.pdf" TargetMode="External"/><Relationship Id="rId122" Type="http://schemas.openxmlformats.org/officeDocument/2006/relationships/hyperlink" Target="https://bseindia.com/xml-data/corpfiling/AttachHis/74ed43be-519b-4442-920a-9d400ee5e170.pdf" TargetMode="External"/><Relationship Id="rId143" Type="http://schemas.openxmlformats.org/officeDocument/2006/relationships/hyperlink" Target="https://www.bseindia.com/bseplus/AnnualReport/531642/69332531642.pdf" TargetMode="External"/><Relationship Id="rId148" Type="http://schemas.openxmlformats.org/officeDocument/2006/relationships/hyperlink" Target="https://www.bseindia.com/xml-data/corpfiling/AttachHis/4d48a9a7-e7ee-4677-a18b-78ae7b5b01c7.pdf" TargetMode="External"/><Relationship Id="rId164" Type="http://schemas.openxmlformats.org/officeDocument/2006/relationships/hyperlink" Target="https://www.bseindia.com/xml-data/corpfiling/AttachHis/f7192a9f-5721-412b-b388-9c6e93caa50e.pdf" TargetMode="External"/><Relationship Id="rId169" Type="http://schemas.openxmlformats.org/officeDocument/2006/relationships/hyperlink" Target="https://www.bseindia.com/xml-data/corpfiling/AttachHis/3025af94-ff0a-4ef0-a5fd-c190e961a60c.pdf" TargetMode="External"/><Relationship Id="rId185" Type="http://schemas.openxmlformats.org/officeDocument/2006/relationships/hyperlink" Target="https://www.bseindia.com/bseplus/AnnualReport/531335/5313350320.pdf" TargetMode="External"/><Relationship Id="rId4" Type="http://schemas.openxmlformats.org/officeDocument/2006/relationships/hyperlink" Target="https://bsmedia.business-standard.com/_media/bs/data/announcements/bse/18122025/44cb5b88-2099-437b-952c-0366aa7fe7d0.pdf" TargetMode="External"/><Relationship Id="rId9" Type="http://schemas.openxmlformats.org/officeDocument/2006/relationships/hyperlink" Target="https://www.bseindia.com/xml-data/corpfiling/AttachHis/3e15d4b2-c14b-4013-a49f-d166f1078be7.pdf" TargetMode="External"/><Relationship Id="rId180" Type="http://schemas.openxmlformats.org/officeDocument/2006/relationships/hyperlink" Target="https://www.bseindia.com/bseplus/AnnualReport/531162/74282531162.pdf" TargetMode="External"/><Relationship Id="rId210" Type="http://schemas.openxmlformats.org/officeDocument/2006/relationships/hyperlink" Target="https://www.icra.in/Rating/GetRationalReportFilePdf?id=134607" TargetMode="External"/><Relationship Id="rId215" Type="http://schemas.openxmlformats.org/officeDocument/2006/relationships/hyperlink" Target="https://entrackr.com/2024/04/heads-up-for-tails-posts-flat-scale-in-fy23-losses-mount-5x" TargetMode="External"/><Relationship Id="rId26" Type="http://schemas.openxmlformats.org/officeDocument/2006/relationships/hyperlink" Target="https://www.bseindia.com/xml-data/corpfiling/AttachHis/4642ea49-b913-4628-a7ae-ed3476af3705.pdf" TargetMode="External"/><Relationship Id="rId47" Type="http://schemas.openxmlformats.org/officeDocument/2006/relationships/hyperlink" Target="https://www.bseindia.com/xml-data/corpfiling/AttachHis/c8bac14c-bf1e-40ff-b341-f9189b080cd5.pdf" TargetMode="External"/><Relationship Id="rId68" Type="http://schemas.openxmlformats.org/officeDocument/2006/relationships/hyperlink" Target="https://www.bseindia.com/xml-data/corpfiling/AttachHis/09aaabc3-d276-44a4-b240-f217c79c7333.pdf" TargetMode="External"/><Relationship Id="rId89" Type="http://schemas.openxmlformats.org/officeDocument/2006/relationships/hyperlink" Target="https://www.bseindia.com/xml-data/corpfiling/AttachHis/7658d0f6-23d4-46d3-a908-d152fb15f167.pdf" TargetMode="External"/><Relationship Id="rId112" Type="http://schemas.openxmlformats.org/officeDocument/2006/relationships/hyperlink" Target="https://www.dtnext.in/amp/story/news/business/reliance-acquires-soft-drink-brand-campa-as-part-of-expansion" TargetMode="External"/><Relationship Id="rId133" Type="http://schemas.openxmlformats.org/officeDocument/2006/relationships/hyperlink" Target="https://www.bseindia.com/xml-data/corpfiling/AttachHis/770bf03e-526d-45d8-8364-13f7fc523289.pdf" TargetMode="External"/><Relationship Id="rId154" Type="http://schemas.openxmlformats.org/officeDocument/2006/relationships/hyperlink" Target="https://www.bseindia.com/xml-data/corpfiling/AttachHis/fcd18b51-5f3f-4fc8-950a-b1ca424b85b2.pdf" TargetMode="External"/><Relationship Id="rId175" Type="http://schemas.openxmlformats.org/officeDocument/2006/relationships/hyperlink" Target="https://www.bseindia.com/xml-data/corpfiling/AttachHis/b6f3ff71-f4ec-428e-a42f-7cb240b20049.pdf" TargetMode="External"/><Relationship Id="rId196" Type="http://schemas.openxmlformats.org/officeDocument/2006/relationships/hyperlink" Target="https://www.bseindia.com/bseplus/AnnualReport/533229/111229533229.pdf" TargetMode="External"/><Relationship Id="rId200" Type="http://schemas.openxmlformats.org/officeDocument/2006/relationships/hyperlink" Target="https://www.bseindia.com/bseplus/AnnualReport/500325/68509500325.pdf" TargetMode="External"/><Relationship Id="rId16" Type="http://schemas.openxmlformats.org/officeDocument/2006/relationships/hyperlink" Target="https://www.bseindia.com/xml-data/corpfiling/AttachHis/6f9ac15e-3ac4-47a5-bc1b-f8043caf0b67.pdf" TargetMode="External"/><Relationship Id="rId37" Type="http://schemas.openxmlformats.org/officeDocument/2006/relationships/hyperlink" Target="https://www.bseindia.com/xml-data/corpfiling/AttachHis/fd54f01d-a590-4013-a2b0-8c9817dc8f1a.pdf" TargetMode="External"/><Relationship Id="rId58" Type="http://schemas.openxmlformats.org/officeDocument/2006/relationships/hyperlink" Target="https://www.bseindia.com/xml-data/corpfiling/AttachHis/887be07a-90f3-4770-8559-562c9b95676e.pdf" TargetMode="External"/><Relationship Id="rId79" Type="http://schemas.openxmlformats.org/officeDocument/2006/relationships/hyperlink" Target="https://www.bseindia.com/xml-data/corpfiling/AttachHis/07eae3e3-fc2e-44b3-9709-da47560b4f0a.pdf" TargetMode="External"/><Relationship Id="rId102" Type="http://schemas.openxmlformats.org/officeDocument/2006/relationships/hyperlink" Target="https://www.bseindia.com/xml-data/corpfiling/AttachHis/9eec263b-6a51-4a93-bb9c-4d767c184732.pdf" TargetMode="External"/><Relationship Id="rId123" Type="http://schemas.openxmlformats.org/officeDocument/2006/relationships/hyperlink" Target="https://www.godrejcp.com/public/uploads/financial_presentation/GCPL_Q3FY24_concall_transcript.pdf" TargetMode="External"/><Relationship Id="rId144" Type="http://schemas.openxmlformats.org/officeDocument/2006/relationships/hyperlink" Target="https://www.bseindia.com/bseplus/AnnualReport/531642/73659531642.pdf" TargetMode="External"/><Relationship Id="rId90" Type="http://schemas.openxmlformats.org/officeDocument/2006/relationships/hyperlink" Target="https://www.bseindia.com/xml-data/corpfiling/AttachHis/c27a590b-780e-41a0-932e-59757a3d88e0.pdf" TargetMode="External"/><Relationship Id="rId165" Type="http://schemas.openxmlformats.org/officeDocument/2006/relationships/hyperlink" Target="https://www.bseindia.com/xml-data/corpfiling/AttachHis/7fba52ba-0385-411a-a015-554d602cdb2c.pdf" TargetMode="External"/><Relationship Id="rId186" Type="http://schemas.openxmlformats.org/officeDocument/2006/relationships/hyperlink" Target="https://www.bseindia.com/bseplus/AnnualReport/531335/68735531335.pdf" TargetMode="External"/><Relationship Id="rId211" Type="http://schemas.openxmlformats.org/officeDocument/2006/relationships/hyperlink" Target="https://entrackr.com/news/pet-food-brand-drools-claims-unicorn-status-after-minority-stake-by-nestl&#233;-9307688" TargetMode="External"/><Relationship Id="rId27" Type="http://schemas.openxmlformats.org/officeDocument/2006/relationships/hyperlink" Target="https://www.bseindia.com/xml-data/corpfiling/AttachHis/cd4dccf2-a564-4d17-8067-017c9c4e008a.pdf" TargetMode="External"/><Relationship Id="rId48" Type="http://schemas.openxmlformats.org/officeDocument/2006/relationships/hyperlink" Target="https://www.bseindia.com/xml-data/corpfiling/AttachHis/2554f0eb-32ae-4cf6-b15e-ade482dfd325.pdf" TargetMode="External"/><Relationship Id="rId69" Type="http://schemas.openxmlformats.org/officeDocument/2006/relationships/hyperlink" Target="https://www.bseindia.com/xml-data/corpfiling/AttachHis/7a1670e1-56f8-40f2-9abc-d3e4dc0d7af1.pdf" TargetMode="External"/><Relationship Id="rId113" Type="http://schemas.openxmlformats.org/officeDocument/2006/relationships/hyperlink" Target="https://thedailybrief.zerodha.com/p/reliances-soft-drink-shake-up" TargetMode="External"/><Relationship Id="rId134" Type="http://schemas.openxmlformats.org/officeDocument/2006/relationships/hyperlink" Target="https://www.bseindia.com/xml-data/corpfiling/AttachHis/881493e4-75af-4a7f-8c64-9d0886e63f1d.pdf" TargetMode="External"/><Relationship Id="rId80" Type="http://schemas.openxmlformats.org/officeDocument/2006/relationships/hyperlink" Target="https://www.bseindia.com/xml-data/corpfiling/AttachHis/c81a6ea5-3ffc-41a4-97cb-f3e5d0efacdd.pdf" TargetMode="External"/><Relationship Id="rId155" Type="http://schemas.openxmlformats.org/officeDocument/2006/relationships/hyperlink" Target="https://www.bseindia.com/xml-data/corpfiling/AttachHis/9065880b-665c-4296-8e23-cea7822e2668.pdf" TargetMode="External"/><Relationship Id="rId176" Type="http://schemas.openxmlformats.org/officeDocument/2006/relationships/hyperlink" Target="https://www.bseindia.com/xml-data/corpfiling/AttachHis/adf0f46e-1909-419e-8bae-c6925bc09ca3.pdf" TargetMode="External"/><Relationship Id="rId197" Type="http://schemas.openxmlformats.org/officeDocument/2006/relationships/hyperlink" Target="https://www.bseindia.com/bseplus/AnnualReport/533229/111230533229.pdf" TargetMode="External"/><Relationship Id="rId201" Type="http://schemas.openxmlformats.org/officeDocument/2006/relationships/hyperlink" Target="https://www.bseindia.com/bseplus/AnnualReport/500325/74185500325.pdf" TargetMode="External"/><Relationship Id="rId17" Type="http://schemas.openxmlformats.org/officeDocument/2006/relationships/hyperlink" Target="https://www.bseindia.com/xml-data/corpfiling/AttachHis/da931624-7fe0-42e8-978a-173597ebe5be.pdf" TargetMode="External"/><Relationship Id="rId38" Type="http://schemas.openxmlformats.org/officeDocument/2006/relationships/hyperlink" Target="https://www.bseindia.com/xml-data/corpfiling/AttachHis/6bcd6b70-d44b-41f3-84d6-c6604909b960.pdf" TargetMode="External"/><Relationship Id="rId59" Type="http://schemas.openxmlformats.org/officeDocument/2006/relationships/hyperlink" Target="https://www.bseindia.com/xml-data/corpfiling/AttachHis/01fbc9b3-3e17-4de2-8d46-4228c8de2550.pdf" TargetMode="External"/><Relationship Id="rId103" Type="http://schemas.openxmlformats.org/officeDocument/2006/relationships/hyperlink" Target="https://www.bseindia.com/xml-data/corpfiling/AttachHis/ac24e8dc-46a5-465e-aca1-57813e20b6c1.pdf" TargetMode="External"/><Relationship Id="rId124" Type="http://schemas.openxmlformats.org/officeDocument/2006/relationships/hyperlink" Target="https://web.archive.org/cdx/search/cdx" TargetMode="External"/><Relationship Id="rId70" Type="http://schemas.openxmlformats.org/officeDocument/2006/relationships/hyperlink" Target="https://www.bseindia.com/xml-data/corpfiling/AttachHis/76411a7d-0b48-4946-ab11-9d6a668ffbc6.pdf" TargetMode="External"/><Relationship Id="rId91" Type="http://schemas.openxmlformats.org/officeDocument/2006/relationships/hyperlink" Target="https://www.bseindia.com/xml-data/corpfiling/AttachHis/2c0eecbf-b80b-4bb9-bdab-7ee327518b7d.pdf" TargetMode="External"/><Relationship Id="rId145" Type="http://schemas.openxmlformats.org/officeDocument/2006/relationships/hyperlink" Target="https://www.bseindia.com/xml-data/corpfiling/AttachHis/799c9f5d-9eb8-454d-9835-fab840a37439.pdf" TargetMode="External"/><Relationship Id="rId166" Type="http://schemas.openxmlformats.org/officeDocument/2006/relationships/hyperlink" Target="https://www.bseindia.com/bseplus/AnnualReport/543384/73761543384.pdf" TargetMode="External"/><Relationship Id="rId187" Type="http://schemas.openxmlformats.org/officeDocument/2006/relationships/hyperlink" Target="https://www.bseindia.com/bseplus/AnnualReport/531335/73481531335.pdf" TargetMode="External"/><Relationship Id="rId1" Type="http://schemas.openxmlformats.org/officeDocument/2006/relationships/hyperlink" Target="https://bseindia.com/xml-data/corpfiling/AttachHis/52af87d5-25a4-45c8-aad3-78626bd1a474.pdf" TargetMode="External"/><Relationship Id="rId212" Type="http://schemas.openxmlformats.org/officeDocument/2006/relationships/hyperlink" Target="https://entrackr.com/fintrackr/petcare-startup-supertails-crosses-rs-100-cr-revenue-in-fy25-losses-surge-28-11167943" TargetMode="External"/><Relationship Id="rId28" Type="http://schemas.openxmlformats.org/officeDocument/2006/relationships/hyperlink" Target="https://www.bseindia.com/xml-data/corpfiling/AttachHis/31601664-bf84-4ec3-9939-dda08c22967e.pdf" TargetMode="External"/><Relationship Id="rId49" Type="http://schemas.openxmlformats.org/officeDocument/2006/relationships/hyperlink" Target="https://www.bseindia.com/xml-data/corpfiling/AttachHis/baa7cd35-b0c5-4f30-98c4-8cdadd609bfa.pdf" TargetMode="External"/><Relationship Id="rId114" Type="http://schemas.openxmlformats.org/officeDocument/2006/relationships/hyperlink" Target="https://www.afaqs.com/news/brands/reliance-consumer-to-acquire-50-stake-in-sasyo-hajoori-beverages" TargetMode="External"/><Relationship Id="rId60" Type="http://schemas.openxmlformats.org/officeDocument/2006/relationships/hyperlink" Target="https://www.bseindia.com/xml-data/corpfiling/AttachHis/b4da9e58-cd98-4627-aa27-447fb75b5a58.pdf" TargetMode="External"/><Relationship Id="rId81" Type="http://schemas.openxmlformats.org/officeDocument/2006/relationships/hyperlink" Target="https://www.bseindia.com/xml-data/corpfiling/AttachHis/c0d014e8-a963-408c-9c19-49ef45a09f93.pdf" TargetMode="External"/><Relationship Id="rId135" Type="http://schemas.openxmlformats.org/officeDocument/2006/relationships/hyperlink" Target="https://www.bseindia.com/bseplus/AnnualReport/500875/5008750320.pdf" TargetMode="External"/><Relationship Id="rId156" Type="http://schemas.openxmlformats.org/officeDocument/2006/relationships/hyperlink" Target="https://www.bseindia.com/bseplus/AnnualReport/532424/5324240320.pdf" TargetMode="External"/><Relationship Id="rId177" Type="http://schemas.openxmlformats.org/officeDocument/2006/relationships/hyperlink" Target="https://www.bseindia.com/xml-data/corpfiling/AttachHis/81d939d7-ea85-443b-98c5-934c71afa68c.pdf" TargetMode="External"/><Relationship Id="rId198" Type="http://schemas.openxmlformats.org/officeDocument/2006/relationships/hyperlink" Target="https://www.bseindia.com/xml-data/corpfiling/AttachHis/56c09424-9bef-4c45-97b4-34e5653c9669.pdf" TargetMode="External"/><Relationship Id="rId202" Type="http://schemas.openxmlformats.org/officeDocument/2006/relationships/hyperlink" Target="https://www.bseindia.com/xml-data/corpfiling/AttachHis/b55b5dfc-a3bf-4f24-9d7f-ca09774a1dd9.pdf" TargetMode="External"/><Relationship Id="rId18" Type="http://schemas.openxmlformats.org/officeDocument/2006/relationships/hyperlink" Target="https://www.bseindia.com/xml-data/corpfiling/AttachHis/d47e38b6-cb10-4947-83ea-738c166c12d3.pdf" TargetMode="External"/><Relationship Id="rId39" Type="http://schemas.openxmlformats.org/officeDocument/2006/relationships/hyperlink" Target="https://www.bseindia.com/xml-data/corpfiling/AttachHis/28441e71-335d-47a6-a86e-2bff25286d57.pdf" TargetMode="External"/><Relationship Id="rId50" Type="http://schemas.openxmlformats.org/officeDocument/2006/relationships/hyperlink" Target="https://www.bseindia.com/xml-data/corpfiling/AttachHis/2dbf8f6b-cc7a-472b-8998-a772eaf85dfc.pdf" TargetMode="External"/><Relationship Id="rId104" Type="http://schemas.openxmlformats.org/officeDocument/2006/relationships/hyperlink" Target="https://www.bseindia.com/xml-data/corpfiling/AttachHis/595c2660-0101-4f9b-a8a0-06bfaa5e1f77.pdf" TargetMode="External"/><Relationship Id="rId125" Type="http://schemas.openxmlformats.org/officeDocument/2006/relationships/hyperlink" Target="https://web.archive.org/cdx/search/cdx" TargetMode="External"/><Relationship Id="rId146" Type="http://schemas.openxmlformats.org/officeDocument/2006/relationships/hyperlink" Target="https://www.bseindia.com/xml-data/corpfiling/AttachHis/bef8f453-f9a7-43c0-b42d-64b514e8fefd.pdf" TargetMode="External"/><Relationship Id="rId167" Type="http://schemas.openxmlformats.org/officeDocument/2006/relationships/hyperlink" Target="https://www.bseindia.com/xml-data/corpfiling/AttachHis/9eef219d-bd49-49f3-9709-e7403015e1e1.pdf" TargetMode="External"/><Relationship Id="rId188" Type="http://schemas.openxmlformats.org/officeDocument/2006/relationships/hyperlink" Target="https://www.bseindia.com/xml-data/corpfiling/AttachHis/8e7afecd-9c22-49c7-9c6c-aa1e79acf5da.pdf" TargetMode="External"/><Relationship Id="rId71" Type="http://schemas.openxmlformats.org/officeDocument/2006/relationships/hyperlink" Target="https://www.bseindia.com/xml-data/corpfiling/AttachHis/d84288eb-224d-4315-8ca8-0327ab543ee2.pdf" TargetMode="External"/><Relationship Id="rId92" Type="http://schemas.openxmlformats.org/officeDocument/2006/relationships/hyperlink" Target="https://www.bseindia.com/xml-data/corpfiling/AttachHis/9e66a660-ffba-4ea1-b835-8909fe8b1c47.pdf" TargetMode="External"/><Relationship Id="rId213" Type="http://schemas.openxmlformats.org/officeDocument/2006/relationships/hyperlink" Target="https://www.businesstoday.in/technology/story/supertails-raises-30-million-in-funding-led-by-venturi-partners-515355-2026-02-10" TargetMode="External"/><Relationship Id="rId2" Type="http://schemas.openxmlformats.org/officeDocument/2006/relationships/hyperlink" Target="https://nsearchives.nseindia.com/corporate/HINDUNILVR_21042025201301_MinimalistSEIntimation21042025signed.pdf" TargetMode="External"/><Relationship Id="rId29" Type="http://schemas.openxmlformats.org/officeDocument/2006/relationships/hyperlink" Target="https://www.bseindia.com/xml-data/corpfiling/AttachHis/d5091192-4596-47de-8164-094ed550af14.pdf" TargetMode="External"/><Relationship Id="rId40" Type="http://schemas.openxmlformats.org/officeDocument/2006/relationships/hyperlink" Target="https://www.bseindia.com/xml-data/corpfiling/AttachHis/567a6ce0-53be-41ef-a118-5535f8fecd79.pdf" TargetMode="External"/><Relationship Id="rId115" Type="http://schemas.openxmlformats.org/officeDocument/2006/relationships/hyperlink" Target="https://www.exchange4media.com/announcements-news/reliance-to-acquire-50-stake-in-sosyo-hajoori-beverages-124575.html" TargetMode="External"/><Relationship Id="rId136" Type="http://schemas.openxmlformats.org/officeDocument/2006/relationships/hyperlink" Target="https://www.bseindia.com/bseplus/AnnualReport/500875/68921500875.pdf" TargetMode="External"/><Relationship Id="rId157" Type="http://schemas.openxmlformats.org/officeDocument/2006/relationships/hyperlink" Target="https://www.bseindia.com/bseplus/AnnualReport/532424/68872532424.pdf" TargetMode="External"/><Relationship Id="rId178" Type="http://schemas.openxmlformats.org/officeDocument/2006/relationships/hyperlink" Target="https://www.bseindia.com/bseplus/AnnualReport/531162/65043531162_03_10_20.pdf" TargetMode="External"/><Relationship Id="rId61" Type="http://schemas.openxmlformats.org/officeDocument/2006/relationships/hyperlink" Target="https://www.bseindia.com/xml-data/corpfiling/AttachHis/1e497d48-0c27-4c5b-811c-7658d2bfbf12.pdf" TargetMode="External"/><Relationship Id="rId82" Type="http://schemas.openxmlformats.org/officeDocument/2006/relationships/hyperlink" Target="https://www.bseindia.com/xml-data/corpfiling/AttachHis/f50adba5-2df3-4371-b29f-fd0027a357b7.pdf" TargetMode="External"/><Relationship Id="rId199" Type="http://schemas.openxmlformats.org/officeDocument/2006/relationships/hyperlink" Target="https://www.bseindia.com/bseplus/AnnualReport/500325/5003250320.pdf" TargetMode="External"/><Relationship Id="rId203" Type="http://schemas.openxmlformats.org/officeDocument/2006/relationships/hyperlink" Target="https://www.bseindia.com/xml-data/corpfiling/AttachHis/d473280d-1c2b-4037-8ff9-dfbb82aa2c7e.pdf"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www.bseindia.com/xml-data/corpfiling/AttachHis/b6f3ff71-f4ec-428e-a42f-7cb240b20049.pdf" TargetMode="External"/><Relationship Id="rId21" Type="http://schemas.openxmlformats.org/officeDocument/2006/relationships/hyperlink" Target="https://www.bseindia.com/xml-data/corpfiling/AttachHis/02d8d87d-90ce-4191-8b3f-4167267aee8a.pdf" TargetMode="External"/><Relationship Id="rId42" Type="http://schemas.openxmlformats.org/officeDocument/2006/relationships/hyperlink" Target="https://www.bseindia.com/bseplus/AnnualReport/500875/73265500875.pdf" TargetMode="External"/><Relationship Id="rId63" Type="http://schemas.openxmlformats.org/officeDocument/2006/relationships/hyperlink" Target="https://www.bseindia.com/xml-data/corpfiling/AttachHis/799c9f5d-9eb8-454d-9835-fab840a37439.pdf" TargetMode="External"/><Relationship Id="rId84" Type="http://schemas.openxmlformats.org/officeDocument/2006/relationships/hyperlink" Target="https://www.bseindia.com/xml-data/corpfiling/AttachHis/166b0feb-ff2c-484f-a942-74fbf8053121.pdf" TargetMode="External"/><Relationship Id="rId138" Type="http://schemas.openxmlformats.org/officeDocument/2006/relationships/hyperlink" Target="https://www.bseindia.com/xml-data/corpfiling/AttachHis/3025af94-ff0a-4ef0-a5fd-c190e961a60c.pdf" TargetMode="External"/><Relationship Id="rId159" Type="http://schemas.openxmlformats.org/officeDocument/2006/relationships/hyperlink" Target="https://www.bseindia.com/bseplus/AnnualReport/533229/111230533229.pdf" TargetMode="External"/><Relationship Id="rId170" Type="http://schemas.openxmlformats.org/officeDocument/2006/relationships/hyperlink" Target="https://www.bseindia.com/bseplus/AnnualReport/500325/5003250320.pdf" TargetMode="External"/><Relationship Id="rId107" Type="http://schemas.openxmlformats.org/officeDocument/2006/relationships/hyperlink" Target="https://www.bseindia.com/xml-data/corpfiling/AttachHis/e571dc22-d936-41e4-9c14-26ddd2ccd937.pdf" TargetMode="External"/><Relationship Id="rId11" Type="http://schemas.openxmlformats.org/officeDocument/2006/relationships/hyperlink" Target="https://www.bseindia.com/bseplus/AnnualReport/500696/73027500696.pdf" TargetMode="External"/><Relationship Id="rId32" Type="http://schemas.openxmlformats.org/officeDocument/2006/relationships/hyperlink" Target="https://www.bseindia.com/xml-data/corpfiling/AttachHis/881493e4-75af-4a7f-8c64-9d0886e63f1d.pdf" TargetMode="External"/><Relationship Id="rId53" Type="http://schemas.openxmlformats.org/officeDocument/2006/relationships/hyperlink" Target="https://www.bseindia.com/xml-data/corpfiling/AttachHis/8ba4a189-5fd2-4851-af6f-ec365f7edea2.pdf" TargetMode="External"/><Relationship Id="rId74" Type="http://schemas.openxmlformats.org/officeDocument/2006/relationships/hyperlink" Target="https://www.bseindia.com/bseplus/AnnualReport/500800/68500500800.pdf" TargetMode="External"/><Relationship Id="rId128" Type="http://schemas.openxmlformats.org/officeDocument/2006/relationships/hyperlink" Target="https://www.bseindia.com/xml-data/corpfiling/AttachHis/7fba52ba-0385-411a-a015-554d602cdb2c.pdf" TargetMode="External"/><Relationship Id="rId149" Type="http://schemas.openxmlformats.org/officeDocument/2006/relationships/hyperlink" Target="https://www.bseindia.com/bseplus/AnnualReport/533229/73482533229.pdf" TargetMode="External"/><Relationship Id="rId5" Type="http://schemas.openxmlformats.org/officeDocument/2006/relationships/hyperlink" Target="https://www.bseindia.com/bseplus/AnnualReport/500696/5006960320.pdf" TargetMode="External"/><Relationship Id="rId95" Type="http://schemas.openxmlformats.org/officeDocument/2006/relationships/hyperlink" Target="https://www.bseindia.com/bseplus/AnnualReport/532424/68872532424.pdf" TargetMode="External"/><Relationship Id="rId160" Type="http://schemas.openxmlformats.org/officeDocument/2006/relationships/hyperlink" Target="https://www.bseindia.com/xml-data/corpfiling/AttachHis/56c09424-9bef-4c45-97b4-34e5653c9669.pdf" TargetMode="External"/><Relationship Id="rId181" Type="http://schemas.openxmlformats.org/officeDocument/2006/relationships/hyperlink" Target="https://www.bseindia.com/xml-data/corpfiling/AttachHis/468b09a3-a212-4066-bbaa-4b0ba524d2ce.pdf" TargetMode="External"/><Relationship Id="rId22" Type="http://schemas.openxmlformats.org/officeDocument/2006/relationships/hyperlink" Target="https://www.bseindia.com/xml-data/corpfiling/AttachHis/02d8d87d-90ce-4191-8b3f-4167267aee8a.pdf" TargetMode="External"/><Relationship Id="rId43" Type="http://schemas.openxmlformats.org/officeDocument/2006/relationships/hyperlink" Target="https://www.bseindia.com/bseplus/AnnualReport/500875/73265500875.pdf" TargetMode="External"/><Relationship Id="rId64" Type="http://schemas.openxmlformats.org/officeDocument/2006/relationships/hyperlink" Target="https://www.bseindia.com/xml-data/corpfiling/AttachHis/799c9f5d-9eb8-454d-9835-fab840a37439.pdf" TargetMode="External"/><Relationship Id="rId118" Type="http://schemas.openxmlformats.org/officeDocument/2006/relationships/hyperlink" Target="https://www.bseindia.com/xml-data/corpfiling/AttachHis/adf0f46e-1909-419e-8bae-c6925bc09ca3.pdf" TargetMode="External"/><Relationship Id="rId139" Type="http://schemas.openxmlformats.org/officeDocument/2006/relationships/hyperlink" Target="https://www.bseindia.com/xml-data/corpfiling/AttachHis/3025af94-ff0a-4ef0-a5fd-c190e961a60c.pdf" TargetMode="External"/><Relationship Id="rId85" Type="http://schemas.openxmlformats.org/officeDocument/2006/relationships/hyperlink" Target="https://www.bseindia.com/xml-data/corpfiling/AttachHis/166b0feb-ff2c-484f-a942-74fbf8053121.pdf" TargetMode="External"/><Relationship Id="rId150" Type="http://schemas.openxmlformats.org/officeDocument/2006/relationships/hyperlink" Target="https://www.bseindia.com/bseplus/AnnualReport/533229/73482533229.pdf" TargetMode="External"/><Relationship Id="rId171" Type="http://schemas.openxmlformats.org/officeDocument/2006/relationships/hyperlink" Target="https://www.bseindia.com/bseplus/AnnualReport/500325/5003250320.pdf" TargetMode="External"/><Relationship Id="rId12" Type="http://schemas.openxmlformats.org/officeDocument/2006/relationships/hyperlink" Target="https://www.bseindia.com/bseplus/AnnualReport/500696/73027500696.pdf" TargetMode="External"/><Relationship Id="rId33" Type="http://schemas.openxmlformats.org/officeDocument/2006/relationships/hyperlink" Target="https://www.bseindia.com/xml-data/corpfiling/AttachHis/881493e4-75af-4a7f-8c64-9d0886e63f1d.pdf" TargetMode="External"/><Relationship Id="rId108" Type="http://schemas.openxmlformats.org/officeDocument/2006/relationships/hyperlink" Target="https://www.bseindia.com/xml-data/corpfiling/AttachHis/e571dc22-d936-41e4-9c14-26ddd2ccd937.pdf" TargetMode="External"/><Relationship Id="rId129" Type="http://schemas.openxmlformats.org/officeDocument/2006/relationships/hyperlink" Target="https://www.bseindia.com/xml-data/corpfiling/AttachHis/7fba52ba-0385-411a-a015-554d602cdb2c.pdf" TargetMode="External"/><Relationship Id="rId54" Type="http://schemas.openxmlformats.org/officeDocument/2006/relationships/hyperlink" Target="https://www.bseindia.com/xml-data/corpfiling/AttachHis/590b42ae-15c9-44cf-be69-e58053128a6b.pdf" TargetMode="External"/><Relationship Id="rId75" Type="http://schemas.openxmlformats.org/officeDocument/2006/relationships/hyperlink" Target="https://www.bseindia.com/bseplus/AnnualReport/500800/68500500800.pdf" TargetMode="External"/><Relationship Id="rId96" Type="http://schemas.openxmlformats.org/officeDocument/2006/relationships/hyperlink" Target="https://www.bseindia.com/bseplus/AnnualReport/532424/68872532424.pdf" TargetMode="External"/><Relationship Id="rId140" Type="http://schemas.openxmlformats.org/officeDocument/2006/relationships/hyperlink" Target="https://www.bseindia.com/xml-data/corpfiling/AttachHis/e96ee6b3-76bd-448f-aba2-15ac8c042994.pdf" TargetMode="External"/><Relationship Id="rId161" Type="http://schemas.openxmlformats.org/officeDocument/2006/relationships/hyperlink" Target="https://www.bseindia.com/xml-data/corpfiling/AttachHis/56c09424-9bef-4c45-97b4-34e5653c9669.pdf" TargetMode="External"/><Relationship Id="rId182" Type="http://schemas.openxmlformats.org/officeDocument/2006/relationships/hyperlink" Target="https://www.bseindia.com/xml-data/corpfiling/AttachHis/cc08294f-ec68-4f15-aaa4-c14a3c4bdfb2.pdf" TargetMode="External"/><Relationship Id="rId6" Type="http://schemas.openxmlformats.org/officeDocument/2006/relationships/hyperlink" Target="https://www.bseindia.com/bseplus/AnnualReport/500696/68482500696.pdf" TargetMode="External"/><Relationship Id="rId23" Type="http://schemas.openxmlformats.org/officeDocument/2006/relationships/hyperlink" Target="https://www.bseindia.com/xml-data/corpfiling/AttachHis/02d8d87d-90ce-4191-8b3f-4167267aee8a.pdf" TargetMode="External"/><Relationship Id="rId119" Type="http://schemas.openxmlformats.org/officeDocument/2006/relationships/hyperlink" Target="https://www.bseindia.com/xml-data/corpfiling/AttachHis/81d939d7-ea85-443b-98c5-934c71afa68c.pdf" TargetMode="External"/><Relationship Id="rId44" Type="http://schemas.openxmlformats.org/officeDocument/2006/relationships/hyperlink" Target="https://www.bseindia.com/bseplus/AnnualReport/500875/73265500875.pdf" TargetMode="External"/><Relationship Id="rId60" Type="http://schemas.openxmlformats.org/officeDocument/2006/relationships/hyperlink" Target="https://www.bseindia.com/bseplus/AnnualReport/531642/69332531642.pdf" TargetMode="External"/><Relationship Id="rId65" Type="http://schemas.openxmlformats.org/officeDocument/2006/relationships/hyperlink" Target="https://www.bseindia.com/xml-data/corpfiling/AttachHis/bef8f453-f9a7-43c0-b42d-64b514e8fefd.pdf" TargetMode="External"/><Relationship Id="rId81" Type="http://schemas.openxmlformats.org/officeDocument/2006/relationships/hyperlink" Target="https://www.bseindia.com/xml-data/corpfiling/AttachHis/c0f1ba05-3b73-4ae8-b105-709cf2f22ea3.pdf" TargetMode="External"/><Relationship Id="rId86" Type="http://schemas.openxmlformats.org/officeDocument/2006/relationships/hyperlink" Target="https://www.bseindia.com/xml-data/corpfiling/AttachHis/fcd18b51-5f3f-4fc8-950a-b1ca424b85b2.pdf" TargetMode="External"/><Relationship Id="rId130" Type="http://schemas.openxmlformats.org/officeDocument/2006/relationships/hyperlink" Target="https://www.bseindia.com/xml-data/corpfiling/AttachHis/7fba52ba-0385-411a-a015-554d602cdb2c.pdf" TargetMode="External"/><Relationship Id="rId135" Type="http://schemas.openxmlformats.org/officeDocument/2006/relationships/hyperlink" Target="https://www.bseindia.com/xml-data/corpfiling/AttachHis/9eef219d-bd49-49f3-9709-e7403015e1e1.pdf" TargetMode="External"/><Relationship Id="rId151" Type="http://schemas.openxmlformats.org/officeDocument/2006/relationships/hyperlink" Target="https://www.bseindia.com/xml-data/corpfiling/AttachHis/13280d5c-1ca5-4226-b919-3a3f4c1f479d.pdf" TargetMode="External"/><Relationship Id="rId156" Type="http://schemas.openxmlformats.org/officeDocument/2006/relationships/hyperlink" Target="https://www.bseindia.com/bseplus/AnnualReport/533229/111229533229.pdf" TargetMode="External"/><Relationship Id="rId177" Type="http://schemas.openxmlformats.org/officeDocument/2006/relationships/hyperlink" Target="https://www.bseindia.com/xml-data/corpfiling/AttachHis/b55b5dfc-a3bf-4f24-9d7f-ca09774a1dd9.pdf" TargetMode="External"/><Relationship Id="rId172" Type="http://schemas.openxmlformats.org/officeDocument/2006/relationships/hyperlink" Target="https://www.bseindia.com/bseplus/AnnualReport/500325/68509500325.pdf" TargetMode="External"/><Relationship Id="rId13" Type="http://schemas.openxmlformats.org/officeDocument/2006/relationships/hyperlink" Target="https://www.bseindia.com/bseplus/AnnualReport/500696/73027500696.pdf" TargetMode="External"/><Relationship Id="rId18" Type="http://schemas.openxmlformats.org/officeDocument/2006/relationships/hyperlink" Target="https://www.bseindia.com/xml-data/corpfiling/AttachHis/dbf3868a-97f3-43ed-b5ce-47e83261fdc4.pdf" TargetMode="External"/><Relationship Id="rId39" Type="http://schemas.openxmlformats.org/officeDocument/2006/relationships/hyperlink" Target="https://www.bseindia.com/bseplus/AnnualReport/500875/68921500875.pdf" TargetMode="External"/><Relationship Id="rId109" Type="http://schemas.openxmlformats.org/officeDocument/2006/relationships/hyperlink" Target="https://www.bseindia.com/xml-data/corpfiling/AttachHis/e571dc22-d936-41e4-9c14-26ddd2ccd937.pdf" TargetMode="External"/><Relationship Id="rId34" Type="http://schemas.openxmlformats.org/officeDocument/2006/relationships/hyperlink" Target="https://www.bseindia.com/xml-data/corpfiling/AttachHis/881493e4-75af-4a7f-8c64-9d0886e63f1d.pdf" TargetMode="External"/><Relationship Id="rId50" Type="http://schemas.openxmlformats.org/officeDocument/2006/relationships/hyperlink" Target="https://www.bseindia.com/xml-data/corpfiling/AttachHis/f0d1e906-3c13-4993-ad06-e04ad1d3edf9.pdf" TargetMode="External"/><Relationship Id="rId55" Type="http://schemas.openxmlformats.org/officeDocument/2006/relationships/hyperlink" Target="https://www.bseindia.com/xml-data/corpfiling/AttachHis/590b42ae-15c9-44cf-be69-e58053128a6b.pdf" TargetMode="External"/><Relationship Id="rId76" Type="http://schemas.openxmlformats.org/officeDocument/2006/relationships/hyperlink" Target="https://www.bseindia.com/bseplus/AnnualReport/500800/68500500800.pdf" TargetMode="External"/><Relationship Id="rId97" Type="http://schemas.openxmlformats.org/officeDocument/2006/relationships/hyperlink" Target="https://www.bseindia.com/bseplus/AnnualReport/532424/68872532424.pdf" TargetMode="External"/><Relationship Id="rId104" Type="http://schemas.openxmlformats.org/officeDocument/2006/relationships/hyperlink" Target="https://www.bseindia.com/xml-data/corpfiling/AttachHis/a96872e8-1acd-4801-91bf-ae002661701a.pdf" TargetMode="External"/><Relationship Id="rId120" Type="http://schemas.openxmlformats.org/officeDocument/2006/relationships/hyperlink" Target="https://www.bseindia.com/xml-data/corpfiling/AttachHis/dec5ef82-91a6-436e-9568-9071207db3aa.pdf" TargetMode="External"/><Relationship Id="rId125" Type="http://schemas.openxmlformats.org/officeDocument/2006/relationships/hyperlink" Target="https://www.bseindia.com/xml-data/corpfiling/AttachHis/f7192a9f-5721-412b-b388-9c6e93caa50e.pdf" TargetMode="External"/><Relationship Id="rId141" Type="http://schemas.openxmlformats.org/officeDocument/2006/relationships/hyperlink" Target="https://www.bseindia.com/xml-data/corpfiling/AttachHis/e96ee6b3-76bd-448f-aba2-15ac8c042994.pdf" TargetMode="External"/><Relationship Id="rId146" Type="http://schemas.openxmlformats.org/officeDocument/2006/relationships/hyperlink" Target="https://www.bseindia.com/bseplus/AnnualReport/533229/68486533229.pdf" TargetMode="External"/><Relationship Id="rId167" Type="http://schemas.openxmlformats.org/officeDocument/2006/relationships/hyperlink" Target="https://www.bseindia.com/xml-data/corpfiling/AttachHis/ef8bd328-7e9d-4789-80b2-216a27e41d31.pdf" TargetMode="External"/><Relationship Id="rId7" Type="http://schemas.openxmlformats.org/officeDocument/2006/relationships/hyperlink" Target="https://www.bseindia.com/bseplus/AnnualReport/500696/68482500696.pdf" TargetMode="External"/><Relationship Id="rId71" Type="http://schemas.openxmlformats.org/officeDocument/2006/relationships/hyperlink" Target="https://www.bseindia.com/bseplus/AnnualReport/500800/5008000320.pdf" TargetMode="External"/><Relationship Id="rId92" Type="http://schemas.openxmlformats.org/officeDocument/2006/relationships/hyperlink" Target="https://www.bseindia.com/bseplus/AnnualReport/532424/5324240320.pdf" TargetMode="External"/><Relationship Id="rId162" Type="http://schemas.openxmlformats.org/officeDocument/2006/relationships/hyperlink" Target="https://www.bseindia.com/xml-data/corpfiling/AttachHis/56c09424-9bef-4c45-97b4-34e5653c9669.pdf" TargetMode="External"/><Relationship Id="rId183" Type="http://schemas.openxmlformats.org/officeDocument/2006/relationships/hyperlink" Target="https://www.bseindia.com/xml-data/corpfiling/AttachHis/cc08294f-ec68-4f15-aaa4-c14a3c4bdfb2.pdf" TargetMode="External"/><Relationship Id="rId2" Type="http://schemas.openxmlformats.org/officeDocument/2006/relationships/hyperlink" Target="https://www.bseindia.com/bseplus/AnnualReport/500696/5006960320.pdf" TargetMode="External"/><Relationship Id="rId29" Type="http://schemas.openxmlformats.org/officeDocument/2006/relationships/hyperlink" Target="https://www.bseindia.com/xml-data/corpfiling/AttachHis/770bf03e-526d-45d8-8364-13f7fc523289.pdf" TargetMode="External"/><Relationship Id="rId24" Type="http://schemas.openxmlformats.org/officeDocument/2006/relationships/hyperlink" Target="https://www.bseindia.com/xml-data/corpfiling/AttachHis/02d8d87d-90ce-4191-8b3f-4167267aee8a.pdf" TargetMode="External"/><Relationship Id="rId40" Type="http://schemas.openxmlformats.org/officeDocument/2006/relationships/hyperlink" Target="https://www.bseindia.com/bseplus/AnnualReport/500875/68921500875.pdf" TargetMode="External"/><Relationship Id="rId45" Type="http://schemas.openxmlformats.org/officeDocument/2006/relationships/hyperlink" Target="https://www.bseindia.com/xml-data/corpfiling/AttachHis/139aec7a-7a7c-458f-ac5a-29f6dbe67c93.pdf" TargetMode="External"/><Relationship Id="rId66" Type="http://schemas.openxmlformats.org/officeDocument/2006/relationships/hyperlink" Target="https://www.bseindia.com/xml-data/corpfiling/AttachHis/bef8f453-f9a7-43c0-b42d-64b514e8fefd.pdf" TargetMode="External"/><Relationship Id="rId87" Type="http://schemas.openxmlformats.org/officeDocument/2006/relationships/hyperlink" Target="https://www.bseindia.com/xml-data/corpfiling/AttachHis/fcd18b51-5f3f-4fc8-950a-b1ca424b85b2.pdf" TargetMode="External"/><Relationship Id="rId110" Type="http://schemas.openxmlformats.org/officeDocument/2006/relationships/hyperlink" Target="https://www.bseindia.com/xml-data/corpfiling/AttachHis/44575d54-1aad-467f-b360-4098a29f22d2.pdf" TargetMode="External"/><Relationship Id="rId115" Type="http://schemas.openxmlformats.org/officeDocument/2006/relationships/hyperlink" Target="https://www.bseindia.com/bseplus/AnnualReport/500096/73713500096.pdf" TargetMode="External"/><Relationship Id="rId131" Type="http://schemas.openxmlformats.org/officeDocument/2006/relationships/hyperlink" Target="https://www.bseindia.com/xml-data/corpfiling/AttachHis/7fba52ba-0385-411a-a015-554d602cdb2c.pdf" TargetMode="External"/><Relationship Id="rId136" Type="http://schemas.openxmlformats.org/officeDocument/2006/relationships/hyperlink" Target="https://www.bseindia.com/xml-data/corpfiling/AttachHis/316c7dec-30ff-437b-8fe1-8f515bebcaf8.pdf" TargetMode="External"/><Relationship Id="rId157" Type="http://schemas.openxmlformats.org/officeDocument/2006/relationships/hyperlink" Target="https://www.bseindia.com/bseplus/AnnualReport/533229/111230533229.pdf" TargetMode="External"/><Relationship Id="rId178" Type="http://schemas.openxmlformats.org/officeDocument/2006/relationships/hyperlink" Target="https://www.bseindia.com/xml-data/corpfiling/AttachHis/d473280d-1c2b-4037-8ff9-dfbb82aa2c7e.pdf" TargetMode="External"/><Relationship Id="rId61" Type="http://schemas.openxmlformats.org/officeDocument/2006/relationships/hyperlink" Target="https://www.bseindia.com/bseplus/AnnualReport/531642/73659531642.pdf" TargetMode="External"/><Relationship Id="rId82" Type="http://schemas.openxmlformats.org/officeDocument/2006/relationships/hyperlink" Target="https://www.bseindia.com/xml-data/corpfiling/AttachHis/c0f1ba05-3b73-4ae8-b105-709cf2f22ea3.pdf" TargetMode="External"/><Relationship Id="rId152" Type="http://schemas.openxmlformats.org/officeDocument/2006/relationships/hyperlink" Target="https://www.bseindia.com/xml-data/corpfiling/AttachHis/13280d5c-1ca5-4226-b919-3a3f4c1f479d.pdf" TargetMode="External"/><Relationship Id="rId173" Type="http://schemas.openxmlformats.org/officeDocument/2006/relationships/hyperlink" Target="https://www.bseindia.com/bseplus/AnnualReport/500325/68509500325.pdf" TargetMode="External"/><Relationship Id="rId19" Type="http://schemas.openxmlformats.org/officeDocument/2006/relationships/hyperlink" Target="https://www.bseindia.com/xml-data/corpfiling/AttachHis/dbf3868a-97f3-43ed-b5ce-47e83261fdc4.pdf" TargetMode="External"/><Relationship Id="rId14" Type="http://schemas.openxmlformats.org/officeDocument/2006/relationships/hyperlink" Target="https://www.bseindia.com/bseplus/AnnualReport/500696/73027500696.pdf" TargetMode="External"/><Relationship Id="rId30" Type="http://schemas.openxmlformats.org/officeDocument/2006/relationships/hyperlink" Target="https://www.bseindia.com/xml-data/corpfiling/AttachHis/770bf03e-526d-45d8-8364-13f7fc523289.pdf" TargetMode="External"/><Relationship Id="rId35" Type="http://schemas.openxmlformats.org/officeDocument/2006/relationships/hyperlink" Target="https://www.bseindia.com/xml-data/corpfiling/AttachHis/881493e4-75af-4a7f-8c64-9d0886e63f1d.pdf" TargetMode="External"/><Relationship Id="rId56" Type="http://schemas.openxmlformats.org/officeDocument/2006/relationships/hyperlink" Target="https://www.bseindia.com/xml-data/corpfiling/AttachHis/590b42ae-15c9-44cf-be69-e58053128a6b.pdf" TargetMode="External"/><Relationship Id="rId77" Type="http://schemas.openxmlformats.org/officeDocument/2006/relationships/hyperlink" Target="https://www.bseindia.com/bseplus/AnnualReport/500800/73101500800.pdf" TargetMode="External"/><Relationship Id="rId100" Type="http://schemas.openxmlformats.org/officeDocument/2006/relationships/hyperlink" Target="https://www.bseindia.com/bseplus/AnnualReport/532424/73620532424.pdf" TargetMode="External"/><Relationship Id="rId105" Type="http://schemas.openxmlformats.org/officeDocument/2006/relationships/hyperlink" Target="https://www.bseindia.com/xml-data/corpfiling/AttachHis/a96872e8-1acd-4801-91bf-ae002661701a.pdf" TargetMode="External"/><Relationship Id="rId126" Type="http://schemas.openxmlformats.org/officeDocument/2006/relationships/hyperlink" Target="https://www.bseindia.com/xml-data/corpfiling/AttachHis/f7192a9f-5721-412b-b388-9c6e93caa50e.pdf" TargetMode="External"/><Relationship Id="rId147" Type="http://schemas.openxmlformats.org/officeDocument/2006/relationships/hyperlink" Target="https://www.bseindia.com/bseplus/AnnualReport/533229/68486533229.pdf" TargetMode="External"/><Relationship Id="rId168" Type="http://schemas.openxmlformats.org/officeDocument/2006/relationships/hyperlink" Target="https://www.bseindia.com/xml-data/corpfiling/AttachHis/f7dafc64-c1e0-4e8a-80c1-36a9115fba8f.pdf" TargetMode="External"/><Relationship Id="rId8" Type="http://schemas.openxmlformats.org/officeDocument/2006/relationships/hyperlink" Target="https://www.bseindia.com/bseplus/AnnualReport/500696/68482500696.pdf" TargetMode="External"/><Relationship Id="rId51" Type="http://schemas.openxmlformats.org/officeDocument/2006/relationships/hyperlink" Target="https://www.bseindia.com/xml-data/corpfiling/AttachHis/8ba4a189-5fd2-4851-af6f-ec365f7edea2.pdf" TargetMode="External"/><Relationship Id="rId72" Type="http://schemas.openxmlformats.org/officeDocument/2006/relationships/hyperlink" Target="https://www.bseindia.com/bseplus/AnnualReport/500800/5008000320.pdf" TargetMode="External"/><Relationship Id="rId93" Type="http://schemas.openxmlformats.org/officeDocument/2006/relationships/hyperlink" Target="https://www.bseindia.com/bseplus/AnnualReport/532424/5324240320.pdf" TargetMode="External"/><Relationship Id="rId98" Type="http://schemas.openxmlformats.org/officeDocument/2006/relationships/hyperlink" Target="https://www.bseindia.com/bseplus/AnnualReport/532424/73620532424.pdf" TargetMode="External"/><Relationship Id="rId121" Type="http://schemas.openxmlformats.org/officeDocument/2006/relationships/hyperlink" Target="https://www.bseindia.com/xml-data/corpfiling/AttachHis/dec5ef82-91a6-436e-9568-9071207db3aa.pdf" TargetMode="External"/><Relationship Id="rId142" Type="http://schemas.openxmlformats.org/officeDocument/2006/relationships/hyperlink" Target="https://www.bseindia.com/bseplus/AnnualReport/533229/65052533229.pdf" TargetMode="External"/><Relationship Id="rId163" Type="http://schemas.openxmlformats.org/officeDocument/2006/relationships/hyperlink" Target="https://www.bseindia.com/bseplus/AnnualReport/531335/5313350320.pdf" TargetMode="External"/><Relationship Id="rId3" Type="http://schemas.openxmlformats.org/officeDocument/2006/relationships/hyperlink" Target="https://www.bseindia.com/bseplus/AnnualReport/500696/5006960320.pdf" TargetMode="External"/><Relationship Id="rId25" Type="http://schemas.openxmlformats.org/officeDocument/2006/relationships/hyperlink" Target="https://www.bseindia.com/xml-data/corpfiling/AttachHis/02d8d87d-90ce-4191-8b3f-4167267aee8a.pdf" TargetMode="External"/><Relationship Id="rId46" Type="http://schemas.openxmlformats.org/officeDocument/2006/relationships/hyperlink" Target="https://www.bseindia.com/xml-data/corpfiling/AttachHis/139aec7a-7a7c-458f-ac5a-29f6dbe67c93.pdf" TargetMode="External"/><Relationship Id="rId67" Type="http://schemas.openxmlformats.org/officeDocument/2006/relationships/hyperlink" Target="https://www.bseindia.com/xml-data/corpfiling/AttachHis/b6de7a5d-3f54-420a-bc2c-02b086e01500.pdf" TargetMode="External"/><Relationship Id="rId116" Type="http://schemas.openxmlformats.org/officeDocument/2006/relationships/hyperlink" Target="https://www.bseindia.com/xml-data/corpfiling/AttachHis/a8dfb6ee-147c-45ab-8d51-4a7fc4ebfacb.pdf" TargetMode="External"/><Relationship Id="rId137" Type="http://schemas.openxmlformats.org/officeDocument/2006/relationships/hyperlink" Target="https://www.bseindia.com/xml-data/corpfiling/AttachHis/316c7dec-30ff-437b-8fe1-8f515bebcaf8.pdf" TargetMode="External"/><Relationship Id="rId158" Type="http://schemas.openxmlformats.org/officeDocument/2006/relationships/hyperlink" Target="https://www.bseindia.com/bseplus/AnnualReport/533229/111230533229.pdf" TargetMode="External"/><Relationship Id="rId20" Type="http://schemas.openxmlformats.org/officeDocument/2006/relationships/hyperlink" Target="https://www.bseindia.com/xml-data/corpfiling/AttachHis/dbf3868a-97f3-43ed-b5ce-47e83261fdc4.pdf" TargetMode="External"/><Relationship Id="rId41" Type="http://schemas.openxmlformats.org/officeDocument/2006/relationships/hyperlink" Target="https://www.bseindia.com/bseplus/AnnualReport/500875/68921500875.pdf" TargetMode="External"/><Relationship Id="rId62" Type="http://schemas.openxmlformats.org/officeDocument/2006/relationships/hyperlink" Target="https://www.bseindia.com/bseplus/AnnualReport/531642/73659531642.pdf" TargetMode="External"/><Relationship Id="rId83" Type="http://schemas.openxmlformats.org/officeDocument/2006/relationships/hyperlink" Target="https://www.bseindia.com/xml-data/corpfiling/AttachHis/166b0feb-ff2c-484f-a942-74fbf8053121.pdf" TargetMode="External"/><Relationship Id="rId88" Type="http://schemas.openxmlformats.org/officeDocument/2006/relationships/hyperlink" Target="https://www.bseindia.com/xml-data/corpfiling/AttachHis/fcd18b51-5f3f-4fc8-950a-b1ca424b85b2.pdf" TargetMode="External"/><Relationship Id="rId111" Type="http://schemas.openxmlformats.org/officeDocument/2006/relationships/hyperlink" Target="https://www.bseindia.com/xml-data/corpfiling/AttachHis/44575d54-1aad-467f-b360-4098a29f22d2.pdf" TargetMode="External"/><Relationship Id="rId132" Type="http://schemas.openxmlformats.org/officeDocument/2006/relationships/hyperlink" Target="https://www.bseindia.com/bseplus/AnnualReport/543384/73761543384.pdf" TargetMode="External"/><Relationship Id="rId153" Type="http://schemas.openxmlformats.org/officeDocument/2006/relationships/hyperlink" Target="https://www.bseindia.com/xml-data/corpfiling/AttachHis/13280d5c-1ca5-4226-b919-3a3f4c1f479d.pdf" TargetMode="External"/><Relationship Id="rId174" Type="http://schemas.openxmlformats.org/officeDocument/2006/relationships/hyperlink" Target="https://www.bseindia.com/bseplus/AnnualReport/500325/74185500325.pdf" TargetMode="External"/><Relationship Id="rId179" Type="http://schemas.openxmlformats.org/officeDocument/2006/relationships/hyperlink" Target="https://www.bseindia.com/xml-data/corpfiling/AttachHis/d473280d-1c2b-4037-8ff9-dfbb82aa2c7e.pdf" TargetMode="External"/><Relationship Id="rId15" Type="http://schemas.openxmlformats.org/officeDocument/2006/relationships/hyperlink" Target="https://www.bseindia.com/bseplus/AnnualReport/500696/73027500696.pdf" TargetMode="External"/><Relationship Id="rId36" Type="http://schemas.openxmlformats.org/officeDocument/2006/relationships/hyperlink" Target="https://www.bseindia.com/bseplus/AnnualReport/500875/5008750320.pdf" TargetMode="External"/><Relationship Id="rId57" Type="http://schemas.openxmlformats.org/officeDocument/2006/relationships/hyperlink" Target="https://www.bseindia.com/bseplus/AnnualReport/531642/5316420320.pdf" TargetMode="External"/><Relationship Id="rId106" Type="http://schemas.openxmlformats.org/officeDocument/2006/relationships/hyperlink" Target="https://www.bseindia.com/xml-data/corpfiling/AttachHis/a96872e8-1acd-4801-91bf-ae002661701a.pdf" TargetMode="External"/><Relationship Id="rId127" Type="http://schemas.openxmlformats.org/officeDocument/2006/relationships/hyperlink" Target="https://www.bseindia.com/xml-data/corpfiling/AttachHis/f7192a9f-5721-412b-b388-9c6e93caa50e.pdf" TargetMode="External"/><Relationship Id="rId10" Type="http://schemas.openxmlformats.org/officeDocument/2006/relationships/hyperlink" Target="https://www.bseindia.com/bseplus/AnnualReport/500696/68482500696.pdf" TargetMode="External"/><Relationship Id="rId31" Type="http://schemas.openxmlformats.org/officeDocument/2006/relationships/hyperlink" Target="https://www.bseindia.com/xml-data/corpfiling/AttachHis/881493e4-75af-4a7f-8c64-9d0886e63f1d.pdf" TargetMode="External"/><Relationship Id="rId52" Type="http://schemas.openxmlformats.org/officeDocument/2006/relationships/hyperlink" Target="https://www.bseindia.com/xml-data/corpfiling/AttachHis/8ba4a189-5fd2-4851-af6f-ec365f7edea2.pdf" TargetMode="External"/><Relationship Id="rId73" Type="http://schemas.openxmlformats.org/officeDocument/2006/relationships/hyperlink" Target="https://www.bseindia.com/bseplus/AnnualReport/500800/5008000320.pdf" TargetMode="External"/><Relationship Id="rId78" Type="http://schemas.openxmlformats.org/officeDocument/2006/relationships/hyperlink" Target="https://www.bseindia.com/bseplus/AnnualReport/500800/73101500800.pdf" TargetMode="External"/><Relationship Id="rId94" Type="http://schemas.openxmlformats.org/officeDocument/2006/relationships/hyperlink" Target="https://www.bseindia.com/bseplus/AnnualReport/532424/5324240320.pdf" TargetMode="External"/><Relationship Id="rId99" Type="http://schemas.openxmlformats.org/officeDocument/2006/relationships/hyperlink" Target="https://www.bseindia.com/bseplus/AnnualReport/532424/73620532424.pdf" TargetMode="External"/><Relationship Id="rId101" Type="http://schemas.openxmlformats.org/officeDocument/2006/relationships/hyperlink" Target="https://www.bseindia.com/xml-data/corpfiling/AttachHis/5832fc49-7be6-4ab2-ac1f-e570fbe601eb.pdf" TargetMode="External"/><Relationship Id="rId122" Type="http://schemas.openxmlformats.org/officeDocument/2006/relationships/hyperlink" Target="https://www.bseindia.com/xml-data/corpfiling/AttachHis/dec5ef82-91a6-436e-9568-9071207db3aa.pdf" TargetMode="External"/><Relationship Id="rId143" Type="http://schemas.openxmlformats.org/officeDocument/2006/relationships/hyperlink" Target="https://www.bseindia.com/bseplus/AnnualReport/533229/65052533229.pdf" TargetMode="External"/><Relationship Id="rId148" Type="http://schemas.openxmlformats.org/officeDocument/2006/relationships/hyperlink" Target="https://www.bseindia.com/bseplus/AnnualReport/533229/73482533229.pdf" TargetMode="External"/><Relationship Id="rId164" Type="http://schemas.openxmlformats.org/officeDocument/2006/relationships/hyperlink" Target="https://www.bseindia.com/bseplus/AnnualReport/531335/68735531335.pdf" TargetMode="External"/><Relationship Id="rId169" Type="http://schemas.openxmlformats.org/officeDocument/2006/relationships/hyperlink" Target="https://www.bseindia.com/xml-data/corpfiling/AttachHis/2e64d5e7-7432-4fad-8f31-bf540f1eeda9.pdf" TargetMode="External"/><Relationship Id="rId4" Type="http://schemas.openxmlformats.org/officeDocument/2006/relationships/hyperlink" Target="https://www.bseindia.com/bseplus/AnnualReport/500696/5006960320.pdf" TargetMode="External"/><Relationship Id="rId9" Type="http://schemas.openxmlformats.org/officeDocument/2006/relationships/hyperlink" Target="https://www.bseindia.com/bseplus/AnnualReport/500696/68482500696.pdf" TargetMode="External"/><Relationship Id="rId180" Type="http://schemas.openxmlformats.org/officeDocument/2006/relationships/hyperlink" Target="https://www.bseindia.com/xml-data/corpfiling/AttachHis/468b09a3-a212-4066-bbaa-4b0ba524d2ce.pdf" TargetMode="External"/><Relationship Id="rId26" Type="http://schemas.openxmlformats.org/officeDocument/2006/relationships/hyperlink" Target="https://www.bseindia.com/xml-data/corpfiling/AttachHis/770bf03e-526d-45d8-8364-13f7fc523289.pdf" TargetMode="External"/><Relationship Id="rId47" Type="http://schemas.openxmlformats.org/officeDocument/2006/relationships/hyperlink" Target="https://www.bseindia.com/xml-data/corpfiling/AttachHis/139aec7a-7a7c-458f-ac5a-29f6dbe67c93.pdf" TargetMode="External"/><Relationship Id="rId68" Type="http://schemas.openxmlformats.org/officeDocument/2006/relationships/hyperlink" Target="https://www.bseindia.com/xml-data/corpfiling/AttachHis/b6de7a5d-3f54-420a-bc2c-02b086e01500.pdf" TargetMode="External"/><Relationship Id="rId89" Type="http://schemas.openxmlformats.org/officeDocument/2006/relationships/hyperlink" Target="https://www.bseindia.com/xml-data/corpfiling/AttachHis/9065880b-665c-4296-8e23-cea7822e2668.pdf" TargetMode="External"/><Relationship Id="rId112" Type="http://schemas.openxmlformats.org/officeDocument/2006/relationships/hyperlink" Target="https://www.bseindia.com/xml-data/corpfiling/AttachHis/44575d54-1aad-467f-b360-4098a29f22d2.pdf" TargetMode="External"/><Relationship Id="rId133" Type="http://schemas.openxmlformats.org/officeDocument/2006/relationships/hyperlink" Target="https://www.bseindia.com/bseplus/AnnualReport/543384/73761543384.pdf" TargetMode="External"/><Relationship Id="rId154" Type="http://schemas.openxmlformats.org/officeDocument/2006/relationships/hyperlink" Target="https://www.bseindia.com/bseplus/AnnualReport/533229/111229533229.pdf" TargetMode="External"/><Relationship Id="rId175" Type="http://schemas.openxmlformats.org/officeDocument/2006/relationships/hyperlink" Target="https://www.bseindia.com/bseplus/AnnualReport/500325/74185500325.pdf" TargetMode="External"/><Relationship Id="rId16" Type="http://schemas.openxmlformats.org/officeDocument/2006/relationships/hyperlink" Target="https://www.bseindia.com/xml-data/corpfiling/AttachHis/dbf3868a-97f3-43ed-b5ce-47e83261fdc4.pdf" TargetMode="External"/><Relationship Id="rId37" Type="http://schemas.openxmlformats.org/officeDocument/2006/relationships/hyperlink" Target="https://www.bseindia.com/bseplus/AnnualReport/500875/5008750320.pdf" TargetMode="External"/><Relationship Id="rId58" Type="http://schemas.openxmlformats.org/officeDocument/2006/relationships/hyperlink" Target="https://www.bseindia.com/bseplus/AnnualReport/531642/5316420320.pdf" TargetMode="External"/><Relationship Id="rId79" Type="http://schemas.openxmlformats.org/officeDocument/2006/relationships/hyperlink" Target="https://www.bseindia.com/bseplus/AnnualReport/500800/73101500800.pdf" TargetMode="External"/><Relationship Id="rId102" Type="http://schemas.openxmlformats.org/officeDocument/2006/relationships/hyperlink" Target="https://www.bseindia.com/xml-data/corpfiling/AttachHis/5832fc49-7be6-4ab2-ac1f-e570fbe601eb.pdf" TargetMode="External"/><Relationship Id="rId123" Type="http://schemas.openxmlformats.org/officeDocument/2006/relationships/hyperlink" Target="https://www.bseindia.com/xml-data/corpfiling/AttachHis/dec5ef82-91a6-436e-9568-9071207db3aa.pdf" TargetMode="External"/><Relationship Id="rId144" Type="http://schemas.openxmlformats.org/officeDocument/2006/relationships/hyperlink" Target="https://www.bseindia.com/bseplus/AnnualReport/533229/65052533229.pdf" TargetMode="External"/><Relationship Id="rId90" Type="http://schemas.openxmlformats.org/officeDocument/2006/relationships/hyperlink" Target="https://www.bseindia.com/xml-data/corpfiling/AttachHis/9065880b-665c-4296-8e23-cea7822e2668.pdf" TargetMode="External"/><Relationship Id="rId165" Type="http://schemas.openxmlformats.org/officeDocument/2006/relationships/hyperlink" Target="https://www.bseindia.com/bseplus/AnnualReport/531335/73481531335.pdf" TargetMode="External"/><Relationship Id="rId27" Type="http://schemas.openxmlformats.org/officeDocument/2006/relationships/hyperlink" Target="https://www.bseindia.com/xml-data/corpfiling/AttachHis/770bf03e-526d-45d8-8364-13f7fc523289.pdf" TargetMode="External"/><Relationship Id="rId48" Type="http://schemas.openxmlformats.org/officeDocument/2006/relationships/hyperlink" Target="https://www.bseindia.com/xml-data/corpfiling/AttachHis/f0d1e906-3c13-4993-ad06-e04ad1d3edf9.pdf" TargetMode="External"/><Relationship Id="rId69" Type="http://schemas.openxmlformats.org/officeDocument/2006/relationships/hyperlink" Target="https://www.bseindia.com/xml-data/corpfiling/AttachHis/4d48a9a7-e7ee-4677-a18b-78ae7b5b01c7.pdf" TargetMode="External"/><Relationship Id="rId113" Type="http://schemas.openxmlformats.org/officeDocument/2006/relationships/hyperlink" Target="https://www.bseindia.com/bseplus/AnnualReport/500096/5000960320.pdf" TargetMode="External"/><Relationship Id="rId134" Type="http://schemas.openxmlformats.org/officeDocument/2006/relationships/hyperlink" Target="https://www.bseindia.com/xml-data/corpfiling/AttachHis/9eef219d-bd49-49f3-9709-e7403015e1e1.pdf" TargetMode="External"/><Relationship Id="rId80" Type="http://schemas.openxmlformats.org/officeDocument/2006/relationships/hyperlink" Target="https://www.bseindia.com/xml-data/corpfiling/AttachHis/c0f1ba05-3b73-4ae8-b105-709cf2f22ea3.pdf" TargetMode="External"/><Relationship Id="rId155" Type="http://schemas.openxmlformats.org/officeDocument/2006/relationships/hyperlink" Target="https://www.bseindia.com/bseplus/AnnualReport/533229/111229533229.pdf" TargetMode="External"/><Relationship Id="rId176" Type="http://schemas.openxmlformats.org/officeDocument/2006/relationships/hyperlink" Target="https://www.bseindia.com/xml-data/corpfiling/AttachHis/b55b5dfc-a3bf-4f24-9d7f-ca09774a1dd9.pdf" TargetMode="External"/><Relationship Id="rId17" Type="http://schemas.openxmlformats.org/officeDocument/2006/relationships/hyperlink" Target="https://www.bseindia.com/xml-data/corpfiling/AttachHis/dbf3868a-97f3-43ed-b5ce-47e83261fdc4.pdf" TargetMode="External"/><Relationship Id="rId38" Type="http://schemas.openxmlformats.org/officeDocument/2006/relationships/hyperlink" Target="https://www.bseindia.com/bseplus/AnnualReport/500875/5008750320.pdf" TargetMode="External"/><Relationship Id="rId59" Type="http://schemas.openxmlformats.org/officeDocument/2006/relationships/hyperlink" Target="https://www.bseindia.com/bseplus/AnnualReport/531642/69332531642.pdf" TargetMode="External"/><Relationship Id="rId103" Type="http://schemas.openxmlformats.org/officeDocument/2006/relationships/hyperlink" Target="https://www.bseindia.com/xml-data/corpfiling/AttachHis/5832fc49-7be6-4ab2-ac1f-e570fbe601eb.pdf" TargetMode="External"/><Relationship Id="rId124" Type="http://schemas.openxmlformats.org/officeDocument/2006/relationships/hyperlink" Target="https://www.bseindia.com/xml-data/corpfiling/AttachHis/f7192a9f-5721-412b-b388-9c6e93caa50e.pdf" TargetMode="External"/><Relationship Id="rId70" Type="http://schemas.openxmlformats.org/officeDocument/2006/relationships/hyperlink" Target="https://www.bseindia.com/xml-data/corpfiling/AttachHis/4d48a9a7-e7ee-4677-a18b-78ae7b5b01c7.pdf" TargetMode="External"/><Relationship Id="rId91" Type="http://schemas.openxmlformats.org/officeDocument/2006/relationships/hyperlink" Target="https://www.bseindia.com/xml-data/corpfiling/AttachHis/9065880b-665c-4296-8e23-cea7822e2668.pdf" TargetMode="External"/><Relationship Id="rId145" Type="http://schemas.openxmlformats.org/officeDocument/2006/relationships/hyperlink" Target="https://www.bseindia.com/bseplus/AnnualReport/533229/68486533229.pdf" TargetMode="External"/><Relationship Id="rId166" Type="http://schemas.openxmlformats.org/officeDocument/2006/relationships/hyperlink" Target="https://www.bseindia.com/xml-data/corpfiling/AttachHis/8e7afecd-9c22-49c7-9c6c-aa1e79acf5da.pdf" TargetMode="External"/><Relationship Id="rId1" Type="http://schemas.openxmlformats.org/officeDocument/2006/relationships/hyperlink" Target="https://www.bseindia.com/bseplus/AnnualReport/500696/5006960320.pdf" TargetMode="External"/><Relationship Id="rId28" Type="http://schemas.openxmlformats.org/officeDocument/2006/relationships/hyperlink" Target="https://www.bseindia.com/xml-data/corpfiling/AttachHis/770bf03e-526d-45d8-8364-13f7fc523289.pdf" TargetMode="External"/><Relationship Id="rId49" Type="http://schemas.openxmlformats.org/officeDocument/2006/relationships/hyperlink" Target="https://www.bseindia.com/xml-data/corpfiling/AttachHis/f0d1e906-3c13-4993-ad06-e04ad1d3edf9.pdf" TargetMode="External"/><Relationship Id="rId114" Type="http://schemas.openxmlformats.org/officeDocument/2006/relationships/hyperlink" Target="https://www.bseindia.com/bseplus/AnnualReport/500096/69003500096_28_07_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4003A"/>
    <pageSetUpPr fitToPage="1"/>
  </sheetPr>
  <dimension ref="A1:E36"/>
  <sheetViews>
    <sheetView showGridLines="0" tabSelected="1" workbookViewId="0"/>
  </sheetViews>
  <sheetFormatPr defaultRowHeight="14.5" x14ac:dyDescent="0.35"/>
  <cols>
    <col min="1" max="1" width="2" customWidth="1"/>
    <col min="2" max="2" width="46" customWidth="1"/>
    <col min="3" max="3" width="16" customWidth="1"/>
    <col min="4" max="4" width="80" customWidth="1"/>
    <col min="5" max="5" width="2" customWidth="1"/>
  </cols>
  <sheetData>
    <row r="1" spans="1:5" ht="8" customHeight="1" x14ac:dyDescent="0.35">
      <c r="A1" s="1"/>
      <c r="B1" s="1"/>
      <c r="C1" s="1"/>
      <c r="D1" s="1"/>
      <c r="E1" s="1"/>
    </row>
    <row r="2" spans="1:5" ht="30" customHeight="1" x14ac:dyDescent="0.35">
      <c r="B2" s="2" t="s">
        <v>0</v>
      </c>
    </row>
    <row r="3" spans="1:5" ht="15.5" x14ac:dyDescent="0.35">
      <c r="B3" s="3" t="s">
        <v>1</v>
      </c>
    </row>
    <row r="4" spans="1:5" x14ac:dyDescent="0.35">
      <c r="B4" s="4" t="s">
        <v>2</v>
      </c>
    </row>
    <row r="6" spans="1:5" ht="22" customHeight="1" x14ac:dyDescent="0.35">
      <c r="B6" s="5" t="s">
        <v>3</v>
      </c>
      <c r="C6" s="1"/>
      <c r="D6" s="1"/>
    </row>
    <row r="7" spans="1:5" ht="18" customHeight="1" x14ac:dyDescent="0.35">
      <c r="B7" s="6" t="s">
        <v>4</v>
      </c>
      <c r="C7" s="7">
        <f>Sensitivity!B14</f>
        <v>2706.45</v>
      </c>
      <c r="D7" s="8" t="s">
        <v>5</v>
      </c>
    </row>
    <row r="8" spans="1:5" ht="18" customHeight="1" x14ac:dyDescent="0.35">
      <c r="B8" s="6" t="s">
        <v>6</v>
      </c>
      <c r="C8" s="7">
        <f>Sensitivity!B10</f>
        <v>3723.1638875303897</v>
      </c>
      <c r="D8" s="8" t="s">
        <v>7</v>
      </c>
    </row>
    <row r="9" spans="1:5" ht="18" customHeight="1" x14ac:dyDescent="0.35">
      <c r="B9" s="6" t="s">
        <v>8</v>
      </c>
      <c r="C9" s="7">
        <f>Sensitivity!B11</f>
        <v>3233.45</v>
      </c>
      <c r="D9" s="8" t="s">
        <v>9</v>
      </c>
    </row>
    <row r="10" spans="1:5" ht="18" customHeight="1" x14ac:dyDescent="0.35">
      <c r="B10" s="6" t="s">
        <v>10</v>
      </c>
      <c r="C10" s="7">
        <f>Sensitivity!B12</f>
        <v>3196.1638875303897</v>
      </c>
      <c r="D10" s="8" t="s">
        <v>11</v>
      </c>
    </row>
    <row r="11" spans="1:5" ht="18" customHeight="1" x14ac:dyDescent="0.35">
      <c r="B11" s="6" t="s">
        <v>12</v>
      </c>
      <c r="C11" s="7">
        <f>Sensitivity!B13</f>
        <v>489.71388753038991</v>
      </c>
      <c r="D11" s="8" t="s">
        <v>13</v>
      </c>
    </row>
    <row r="12" spans="1:5" ht="18" customHeight="1" x14ac:dyDescent="0.35">
      <c r="B12" s="6" t="s">
        <v>14</v>
      </c>
      <c r="C12" s="9">
        <f>Sensitivity!B7</f>
        <v>0.11</v>
      </c>
      <c r="D12" s="8" t="s">
        <v>15</v>
      </c>
    </row>
    <row r="13" spans="1:5" ht="18" customHeight="1" x14ac:dyDescent="0.35">
      <c r="B13" s="6" t="s">
        <v>16</v>
      </c>
      <c r="C13" s="10">
        <f>Sensitivity!B5</f>
        <v>7</v>
      </c>
      <c r="D13" s="8" t="s">
        <v>17</v>
      </c>
    </row>
    <row r="15" spans="1:5" ht="22" customHeight="1" x14ac:dyDescent="0.35">
      <c r="B15" s="5" t="s">
        <v>18</v>
      </c>
      <c r="C15" s="1"/>
      <c r="D15" s="1"/>
    </row>
    <row r="16" spans="1:5" x14ac:dyDescent="0.35">
      <c r="B16" s="6" t="s">
        <v>19</v>
      </c>
      <c r="C16" s="11">
        <f>COUNTA(Tab_A_Buy!A2:A1000)</f>
        <v>31</v>
      </c>
      <c r="D16" s="8" t="s">
        <v>20</v>
      </c>
    </row>
    <row r="17" spans="2:4" x14ac:dyDescent="0.35">
      <c r="B17" s="6" t="s">
        <v>21</v>
      </c>
      <c r="C17" s="11">
        <f>COUNTA(Tab_B_Build!A2:A1000)</f>
        <v>29</v>
      </c>
      <c r="D17" s="8" t="s">
        <v>22</v>
      </c>
    </row>
    <row r="18" spans="2:4" x14ac:dyDescent="0.35">
      <c r="B18" s="6" t="s">
        <v>23</v>
      </c>
      <c r="C18" s="11">
        <f>COUNTA(Source_Log!A2:A1000)</f>
        <v>216</v>
      </c>
      <c r="D18" s="8" t="s">
        <v>24</v>
      </c>
    </row>
    <row r="19" spans="2:4" x14ac:dyDescent="0.35">
      <c r="B19" s="6" t="s">
        <v>25</v>
      </c>
      <c r="C19" s="11">
        <f>COUNTA(Claims_Log!A2:A1000)</f>
        <v>72</v>
      </c>
      <c r="D19" s="8" t="s">
        <v>26</v>
      </c>
    </row>
    <row r="20" spans="2:4" x14ac:dyDescent="0.35">
      <c r="B20" s="6" t="s">
        <v>27</v>
      </c>
      <c r="C20" s="11">
        <f>COUNTA(AR_Mentions!A2:A1000)</f>
        <v>203</v>
      </c>
      <c r="D20" s="8" t="s">
        <v>28</v>
      </c>
    </row>
    <row r="22" spans="2:4" ht="22" customHeight="1" x14ac:dyDescent="0.35">
      <c r="B22" s="5" t="s">
        <v>29</v>
      </c>
      <c r="C22" s="1"/>
      <c r="D22" s="1"/>
    </row>
    <row r="24" spans="2:4" ht="22" customHeight="1" x14ac:dyDescent="0.35">
      <c r="B24" s="5" t="s">
        <v>30</v>
      </c>
      <c r="C24" s="1"/>
      <c r="D24" s="1"/>
    </row>
    <row r="26" spans="2:4" ht="22" customHeight="1" x14ac:dyDescent="0.35">
      <c r="B26" s="5" t="s">
        <v>31</v>
      </c>
      <c r="C26" s="1"/>
      <c r="D26" s="1"/>
    </row>
    <row r="27" spans="2:4" x14ac:dyDescent="0.35">
      <c r="B27" s="12" t="s">
        <v>32</v>
      </c>
      <c r="C27" s="80" t="s">
        <v>33</v>
      </c>
      <c r="D27" s="81"/>
    </row>
    <row r="28" spans="2:4" x14ac:dyDescent="0.35">
      <c r="B28" s="13" t="s">
        <v>34</v>
      </c>
      <c r="C28" s="80" t="s">
        <v>35</v>
      </c>
      <c r="D28" s="81"/>
    </row>
    <row r="29" spans="2:4" x14ac:dyDescent="0.35">
      <c r="B29" s="14" t="s">
        <v>36</v>
      </c>
      <c r="C29" s="80" t="s">
        <v>37</v>
      </c>
      <c r="D29" s="81"/>
    </row>
    <row r="30" spans="2:4" x14ac:dyDescent="0.35">
      <c r="B30" s="14" t="s">
        <v>38</v>
      </c>
      <c r="C30" s="80" t="s">
        <v>39</v>
      </c>
      <c r="D30" s="81"/>
    </row>
    <row r="32" spans="2:4" ht="22" customHeight="1" x14ac:dyDescent="0.35">
      <c r="B32" s="5" t="s">
        <v>40</v>
      </c>
      <c r="C32" s="1"/>
      <c r="D32" s="1"/>
    </row>
    <row r="33" spans="2:3" x14ac:dyDescent="0.35">
      <c r="B33" s="15" t="s">
        <v>41</v>
      </c>
      <c r="C33" s="16" t="s">
        <v>42</v>
      </c>
    </row>
    <row r="34" spans="2:3" x14ac:dyDescent="0.35">
      <c r="B34" s="17" t="s">
        <v>43</v>
      </c>
      <c r="C34" s="16" t="s">
        <v>44</v>
      </c>
    </row>
    <row r="35" spans="2:3" x14ac:dyDescent="0.35">
      <c r="B35" s="16" t="s">
        <v>45</v>
      </c>
      <c r="C35" s="16" t="s">
        <v>46</v>
      </c>
    </row>
    <row r="36" spans="2:3" x14ac:dyDescent="0.35">
      <c r="B36" s="16" t="s">
        <v>47</v>
      </c>
      <c r="C36" s="16" t="s">
        <v>48</v>
      </c>
    </row>
  </sheetData>
  <mergeCells count="4">
    <mergeCell ref="C28:D28"/>
    <mergeCell ref="C29:D29"/>
    <mergeCell ref="C27:D27"/>
    <mergeCell ref="C30:D30"/>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8102E"/>
    <pageSetUpPr fitToPage="1"/>
  </sheetPr>
  <dimension ref="A1:V32"/>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328125" defaultRowHeight="14.5" x14ac:dyDescent="0.35"/>
  <cols>
    <col min="1" max="1" width="8" customWidth="1"/>
    <col min="2" max="2" width="11" customWidth="1"/>
    <col min="3" max="3" width="24" customWidth="1"/>
    <col min="4" max="4" width="28" customWidth="1"/>
    <col min="5" max="5" width="22" customWidth="1"/>
    <col min="6" max="6" width="9" customWidth="1"/>
    <col min="7" max="7" width="15" customWidth="1"/>
    <col min="8" max="8" width="9" customWidth="1"/>
    <col min="9" max="9" width="18" customWidth="1"/>
    <col min="10" max="10" width="14" customWidth="1"/>
    <col min="11" max="11" width="9" customWidth="1"/>
    <col min="12" max="12" width="30" customWidth="1"/>
    <col min="13" max="13" width="11" customWidth="1"/>
    <col min="14" max="14" width="18" customWidth="1"/>
    <col min="15" max="15" width="46" customWidth="1"/>
    <col min="16" max="16" width="32" customWidth="1"/>
    <col min="17" max="17" width="52" customWidth="1"/>
    <col min="18" max="18" width="26" customWidth="1"/>
    <col min="19" max="19" width="16" customWidth="1"/>
    <col min="20" max="21" width="12" customWidth="1"/>
    <col min="22" max="22" width="70" customWidth="1"/>
  </cols>
  <sheetData>
    <row r="1" spans="1:22" ht="34" customHeight="1" x14ac:dyDescent="0.35">
      <c r="A1" s="18" t="s">
        <v>49</v>
      </c>
      <c r="B1" s="18" t="s">
        <v>50</v>
      </c>
      <c r="C1" s="18" t="s">
        <v>51</v>
      </c>
      <c r="D1" s="18" t="s">
        <v>52</v>
      </c>
      <c r="E1" s="18" t="s">
        <v>53</v>
      </c>
      <c r="F1" s="18" t="s">
        <v>54</v>
      </c>
      <c r="G1" s="18" t="s">
        <v>55</v>
      </c>
      <c r="H1" s="18" t="s">
        <v>56</v>
      </c>
      <c r="I1" s="18" t="s">
        <v>57</v>
      </c>
      <c r="J1" s="18" t="s">
        <v>58</v>
      </c>
      <c r="K1" s="18" t="s">
        <v>59</v>
      </c>
      <c r="L1" s="18" t="s">
        <v>60</v>
      </c>
      <c r="M1" s="18" t="s">
        <v>61</v>
      </c>
      <c r="N1" s="18" t="s">
        <v>62</v>
      </c>
      <c r="O1" s="18" t="s">
        <v>63</v>
      </c>
      <c r="P1" s="18" t="s">
        <v>64</v>
      </c>
      <c r="Q1" s="18" t="s">
        <v>65</v>
      </c>
      <c r="R1" s="18" t="s">
        <v>66</v>
      </c>
      <c r="S1" s="18" t="s">
        <v>67</v>
      </c>
      <c r="T1" s="18" t="s">
        <v>68</v>
      </c>
      <c r="U1" s="18" t="s">
        <v>69</v>
      </c>
      <c r="V1" s="18" t="s">
        <v>70</v>
      </c>
    </row>
    <row r="2" spans="1:22" ht="96" customHeight="1" x14ac:dyDescent="0.35">
      <c r="A2" s="19" t="s">
        <v>71</v>
      </c>
      <c r="B2" s="19" t="s">
        <v>72</v>
      </c>
      <c r="C2" s="20" t="s">
        <v>73</v>
      </c>
      <c r="D2" s="20" t="s">
        <v>74</v>
      </c>
      <c r="E2" s="20" t="s">
        <v>75</v>
      </c>
      <c r="F2" s="21">
        <v>2025</v>
      </c>
      <c r="G2" s="22">
        <v>2706.45</v>
      </c>
      <c r="H2" s="23">
        <v>90.5</v>
      </c>
      <c r="I2" s="24" t="s">
        <v>76</v>
      </c>
      <c r="J2" s="22">
        <v>347</v>
      </c>
      <c r="K2" s="19" t="s">
        <v>77</v>
      </c>
      <c r="L2" s="20" t="s">
        <v>78</v>
      </c>
      <c r="M2" s="25">
        <f t="shared" ref="M2:M32" si="0">IF(AND(ISNUMBER(G2),ISNUMBER(H2),ISNUMBER(J2),N(J2)&gt;0),G2/(H2/100)/J2,"")</f>
        <v>8.6183068766220305</v>
      </c>
      <c r="N2" s="24" t="s">
        <v>79</v>
      </c>
      <c r="O2" s="20" t="s">
        <v>80</v>
      </c>
      <c r="P2" s="20" t="s">
        <v>81</v>
      </c>
      <c r="Q2" s="20" t="s">
        <v>82</v>
      </c>
      <c r="R2" s="26" t="s">
        <v>83</v>
      </c>
      <c r="S2" s="20" t="s">
        <v>84</v>
      </c>
      <c r="T2" s="19" t="s">
        <v>85</v>
      </c>
      <c r="U2" s="19" t="s">
        <v>32</v>
      </c>
      <c r="V2" s="20" t="s">
        <v>86</v>
      </c>
    </row>
    <row r="3" spans="1:22" ht="96" customHeight="1" x14ac:dyDescent="0.35">
      <c r="A3" s="27" t="s">
        <v>71</v>
      </c>
      <c r="B3" s="27" t="s">
        <v>72</v>
      </c>
      <c r="C3" s="28" t="s">
        <v>73</v>
      </c>
      <c r="D3" s="28" t="s">
        <v>87</v>
      </c>
      <c r="E3" s="28" t="s">
        <v>88</v>
      </c>
      <c r="F3" s="29">
        <v>2023</v>
      </c>
      <c r="G3" s="30">
        <v>264.27999999999997</v>
      </c>
      <c r="H3" s="31">
        <v>51</v>
      </c>
      <c r="I3" s="32" t="s">
        <v>76</v>
      </c>
      <c r="J3" s="30">
        <v>124.17</v>
      </c>
      <c r="K3" s="27" t="s">
        <v>89</v>
      </c>
      <c r="L3" s="28" t="s">
        <v>90</v>
      </c>
      <c r="M3" s="25">
        <f t="shared" si="0"/>
        <v>4.1732792013479303</v>
      </c>
      <c r="N3" s="32" t="s">
        <v>91</v>
      </c>
      <c r="O3" s="28" t="s">
        <v>92</v>
      </c>
      <c r="P3" s="28" t="s">
        <v>93</v>
      </c>
      <c r="Q3" s="28" t="s">
        <v>94</v>
      </c>
      <c r="R3" s="33" t="s">
        <v>95</v>
      </c>
      <c r="S3" s="28" t="s">
        <v>96</v>
      </c>
      <c r="T3" s="27" t="s">
        <v>85</v>
      </c>
      <c r="U3" s="27" t="s">
        <v>32</v>
      </c>
      <c r="V3" s="28" t="s">
        <v>97</v>
      </c>
    </row>
    <row r="4" spans="1:22" ht="96" customHeight="1" x14ac:dyDescent="0.35">
      <c r="A4" s="19" t="s">
        <v>71</v>
      </c>
      <c r="B4" s="19" t="s">
        <v>72</v>
      </c>
      <c r="C4" s="20" t="s">
        <v>73</v>
      </c>
      <c r="D4" s="20" t="s">
        <v>98</v>
      </c>
      <c r="E4" s="20" t="s">
        <v>88</v>
      </c>
      <c r="F4" s="21">
        <v>2023</v>
      </c>
      <c r="G4" s="22">
        <v>70</v>
      </c>
      <c r="H4" s="23">
        <v>19.8</v>
      </c>
      <c r="I4" s="24" t="s">
        <v>99</v>
      </c>
      <c r="J4" s="22">
        <v>19.399999999999999</v>
      </c>
      <c r="K4" s="19" t="s">
        <v>89</v>
      </c>
      <c r="L4" s="20" t="s">
        <v>100</v>
      </c>
      <c r="M4" s="25">
        <f t="shared" si="0"/>
        <v>18.223471831719255</v>
      </c>
      <c r="N4" s="24" t="s">
        <v>91</v>
      </c>
      <c r="O4" s="20" t="s">
        <v>101</v>
      </c>
      <c r="P4" s="20" t="s">
        <v>102</v>
      </c>
      <c r="Q4" s="20" t="s">
        <v>103</v>
      </c>
      <c r="R4" s="26" t="s">
        <v>104</v>
      </c>
      <c r="S4" s="20" t="s">
        <v>105</v>
      </c>
      <c r="T4" s="19" t="s">
        <v>85</v>
      </c>
      <c r="U4" s="19" t="s">
        <v>32</v>
      </c>
      <c r="V4" s="20" t="s">
        <v>106</v>
      </c>
    </row>
    <row r="5" spans="1:22" ht="96" customHeight="1" x14ac:dyDescent="0.35">
      <c r="A5" s="27" t="s">
        <v>71</v>
      </c>
      <c r="B5" s="27" t="s">
        <v>72</v>
      </c>
      <c r="C5" s="28" t="s">
        <v>107</v>
      </c>
      <c r="D5" s="28" t="s">
        <v>108</v>
      </c>
      <c r="E5" s="28" t="s">
        <v>109</v>
      </c>
      <c r="F5" s="29">
        <v>2023</v>
      </c>
      <c r="G5" s="30">
        <v>175</v>
      </c>
      <c r="H5" s="31">
        <v>39.42</v>
      </c>
      <c r="I5" s="32" t="s">
        <v>110</v>
      </c>
      <c r="J5" s="30">
        <v>68</v>
      </c>
      <c r="K5" s="27" t="s">
        <v>89</v>
      </c>
      <c r="L5" s="28" t="s">
        <v>111</v>
      </c>
      <c r="M5" s="25">
        <f t="shared" si="0"/>
        <v>6.5284865848927094</v>
      </c>
      <c r="N5" s="32" t="s">
        <v>79</v>
      </c>
      <c r="O5" s="28" t="s">
        <v>112</v>
      </c>
      <c r="P5" s="28" t="s">
        <v>113</v>
      </c>
      <c r="Q5" s="28" t="s">
        <v>114</v>
      </c>
      <c r="R5" s="33" t="s">
        <v>115</v>
      </c>
      <c r="S5" s="28" t="s">
        <v>116</v>
      </c>
      <c r="T5" s="27" t="s">
        <v>85</v>
      </c>
      <c r="U5" s="27" t="s">
        <v>32</v>
      </c>
      <c r="V5" s="28" t="s">
        <v>117</v>
      </c>
    </row>
    <row r="6" spans="1:22" ht="96" customHeight="1" x14ac:dyDescent="0.35">
      <c r="A6" s="19" t="s">
        <v>71</v>
      </c>
      <c r="B6" s="19" t="s">
        <v>72</v>
      </c>
      <c r="C6" s="20" t="s">
        <v>107</v>
      </c>
      <c r="D6" s="20" t="s">
        <v>118</v>
      </c>
      <c r="E6" s="20" t="s">
        <v>119</v>
      </c>
      <c r="F6" s="21">
        <v>2025</v>
      </c>
      <c r="G6" s="22">
        <v>50.6</v>
      </c>
      <c r="H6" s="23">
        <v>12.97</v>
      </c>
      <c r="I6" s="24" t="s">
        <v>110</v>
      </c>
      <c r="J6" s="22">
        <v>58.7</v>
      </c>
      <c r="K6" s="19" t="s">
        <v>77</v>
      </c>
      <c r="L6" s="20" t="s">
        <v>111</v>
      </c>
      <c r="M6" s="25">
        <f t="shared" si="0"/>
        <v>6.6461852079034438</v>
      </c>
      <c r="N6" s="24" t="s">
        <v>91</v>
      </c>
      <c r="O6" s="20" t="s">
        <v>120</v>
      </c>
      <c r="P6" s="20" t="s">
        <v>121</v>
      </c>
      <c r="Q6" s="20" t="s">
        <v>122</v>
      </c>
      <c r="R6" s="26" t="s">
        <v>123</v>
      </c>
      <c r="S6" s="20" t="s">
        <v>124</v>
      </c>
      <c r="T6" s="19" t="s">
        <v>85</v>
      </c>
      <c r="U6" s="19" t="s">
        <v>32</v>
      </c>
      <c r="V6" s="20" t="s">
        <v>125</v>
      </c>
    </row>
    <row r="7" spans="1:22" ht="96" customHeight="1" x14ac:dyDescent="0.35">
      <c r="A7" s="27" t="s">
        <v>71</v>
      </c>
      <c r="B7" s="27" t="s">
        <v>72</v>
      </c>
      <c r="C7" s="28" t="s">
        <v>107</v>
      </c>
      <c r="D7" s="28" t="s">
        <v>126</v>
      </c>
      <c r="E7" s="28" t="s">
        <v>127</v>
      </c>
      <c r="F7" s="29">
        <v>2025</v>
      </c>
      <c r="G7" s="30">
        <v>472.5</v>
      </c>
      <c r="H7" s="31">
        <v>100</v>
      </c>
      <c r="I7" s="32" t="s">
        <v>128</v>
      </c>
      <c r="J7" s="30">
        <v>306.10000000000002</v>
      </c>
      <c r="K7" s="27" t="s">
        <v>77</v>
      </c>
      <c r="L7" s="28" t="s">
        <v>129</v>
      </c>
      <c r="M7" s="25">
        <f t="shared" si="0"/>
        <v>1.5436131983012087</v>
      </c>
      <c r="N7" s="32" t="s">
        <v>79</v>
      </c>
      <c r="O7" s="28" t="s">
        <v>130</v>
      </c>
      <c r="P7" s="28" t="s">
        <v>131</v>
      </c>
      <c r="Q7" s="28" t="s">
        <v>132</v>
      </c>
      <c r="R7" s="33" t="s">
        <v>123</v>
      </c>
      <c r="S7" s="28" t="s">
        <v>133</v>
      </c>
      <c r="T7" s="27" t="s">
        <v>85</v>
      </c>
      <c r="U7" s="27" t="s">
        <v>32</v>
      </c>
      <c r="V7" s="28" t="s">
        <v>134</v>
      </c>
    </row>
    <row r="8" spans="1:22" ht="96" customHeight="1" x14ac:dyDescent="0.35">
      <c r="A8" s="19" t="s">
        <v>71</v>
      </c>
      <c r="B8" s="19" t="s">
        <v>72</v>
      </c>
      <c r="C8" s="20" t="s">
        <v>107</v>
      </c>
      <c r="D8" s="20" t="s">
        <v>135</v>
      </c>
      <c r="E8" s="20" t="s">
        <v>136</v>
      </c>
      <c r="F8" s="21">
        <v>2025</v>
      </c>
      <c r="G8" s="22">
        <v>131</v>
      </c>
      <c r="H8" s="23">
        <v>43.75</v>
      </c>
      <c r="I8" s="24" t="s">
        <v>110</v>
      </c>
      <c r="J8" s="22">
        <v>116</v>
      </c>
      <c r="K8" s="19" t="s">
        <v>77</v>
      </c>
      <c r="L8" s="20" t="s">
        <v>137</v>
      </c>
      <c r="M8" s="25">
        <f t="shared" si="0"/>
        <v>2.5812807881773399</v>
      </c>
      <c r="N8" s="24" t="s">
        <v>138</v>
      </c>
      <c r="O8" s="20" t="s">
        <v>139</v>
      </c>
      <c r="P8" s="20" t="s">
        <v>140</v>
      </c>
      <c r="Q8" s="20" t="s">
        <v>141</v>
      </c>
      <c r="R8" s="26" t="s">
        <v>142</v>
      </c>
      <c r="S8" s="20" t="s">
        <v>143</v>
      </c>
      <c r="T8" s="19" t="s">
        <v>85</v>
      </c>
      <c r="U8" s="19" t="s">
        <v>32</v>
      </c>
      <c r="V8" s="20" t="s">
        <v>144</v>
      </c>
    </row>
    <row r="9" spans="1:22" ht="96" customHeight="1" x14ac:dyDescent="0.35">
      <c r="A9" s="27" t="s">
        <v>71</v>
      </c>
      <c r="B9" s="27" t="s">
        <v>72</v>
      </c>
      <c r="C9" s="28" t="s">
        <v>145</v>
      </c>
      <c r="D9" s="28" t="s">
        <v>146</v>
      </c>
      <c r="E9" s="28" t="s">
        <v>109</v>
      </c>
      <c r="F9" s="29">
        <v>2021</v>
      </c>
      <c r="G9" s="30">
        <v>155.80000000000001</v>
      </c>
      <c r="H9" s="31">
        <v>100</v>
      </c>
      <c r="I9" s="32" t="s">
        <v>128</v>
      </c>
      <c r="J9" s="30">
        <v>39.380000000000003</v>
      </c>
      <c r="K9" s="27" t="s">
        <v>147</v>
      </c>
      <c r="L9" s="28" t="s">
        <v>100</v>
      </c>
      <c r="M9" s="25">
        <f t="shared" si="0"/>
        <v>3.9563230066023363</v>
      </c>
      <c r="N9" s="32" t="s">
        <v>91</v>
      </c>
      <c r="O9" s="28" t="s">
        <v>148</v>
      </c>
      <c r="P9" s="28" t="s">
        <v>149</v>
      </c>
      <c r="Q9" s="28" t="s">
        <v>150</v>
      </c>
      <c r="R9" s="33" t="s">
        <v>151</v>
      </c>
      <c r="S9" s="28" t="s">
        <v>152</v>
      </c>
      <c r="T9" s="27" t="s">
        <v>85</v>
      </c>
      <c r="U9" s="27" t="s">
        <v>32</v>
      </c>
      <c r="V9" s="28" t="s">
        <v>153</v>
      </c>
    </row>
    <row r="10" spans="1:22" ht="96" customHeight="1" x14ac:dyDescent="0.35">
      <c r="A10" s="19" t="s">
        <v>71</v>
      </c>
      <c r="B10" s="19" t="s">
        <v>72</v>
      </c>
      <c r="C10" s="20" t="s">
        <v>145</v>
      </c>
      <c r="D10" s="20" t="s">
        <v>154</v>
      </c>
      <c r="E10" s="20" t="s">
        <v>155</v>
      </c>
      <c r="F10" s="21">
        <v>2024</v>
      </c>
      <c r="G10" s="22">
        <v>3825</v>
      </c>
      <c r="H10" s="23">
        <v>75</v>
      </c>
      <c r="I10" s="24" t="s">
        <v>76</v>
      </c>
      <c r="J10" s="22">
        <v>705.5</v>
      </c>
      <c r="K10" s="19" t="s">
        <v>156</v>
      </c>
      <c r="L10" s="20" t="s">
        <v>157</v>
      </c>
      <c r="M10" s="25">
        <f t="shared" si="0"/>
        <v>7.2289156626506026</v>
      </c>
      <c r="N10" s="24" t="s">
        <v>91</v>
      </c>
      <c r="O10" s="20" t="s">
        <v>158</v>
      </c>
      <c r="P10" s="20" t="s">
        <v>159</v>
      </c>
      <c r="Q10" s="20" t="s">
        <v>160</v>
      </c>
      <c r="R10" s="26" t="s">
        <v>161</v>
      </c>
      <c r="S10" s="20" t="s">
        <v>162</v>
      </c>
      <c r="T10" s="19" t="s">
        <v>85</v>
      </c>
      <c r="U10" s="19" t="s">
        <v>36</v>
      </c>
      <c r="V10" s="20" t="s">
        <v>163</v>
      </c>
    </row>
    <row r="11" spans="1:22" ht="96" customHeight="1" x14ac:dyDescent="0.35">
      <c r="A11" s="27" t="s">
        <v>71</v>
      </c>
      <c r="B11" s="27" t="s">
        <v>72</v>
      </c>
      <c r="C11" s="28" t="s">
        <v>145</v>
      </c>
      <c r="D11" s="28" t="s">
        <v>164</v>
      </c>
      <c r="E11" s="28" t="s">
        <v>88</v>
      </c>
      <c r="F11" s="29">
        <v>2024</v>
      </c>
      <c r="G11" s="30">
        <v>1900</v>
      </c>
      <c r="H11" s="31">
        <v>99.99</v>
      </c>
      <c r="I11" s="32" t="s">
        <v>128</v>
      </c>
      <c r="J11" s="30">
        <v>324.39999999999998</v>
      </c>
      <c r="K11" s="27" t="s">
        <v>156</v>
      </c>
      <c r="L11" s="28" t="s">
        <v>165</v>
      </c>
      <c r="M11" s="25">
        <f t="shared" si="0"/>
        <v>5.85755246301449</v>
      </c>
      <c r="N11" s="32" t="s">
        <v>91</v>
      </c>
      <c r="O11" s="28" t="s">
        <v>166</v>
      </c>
      <c r="P11" s="28" t="s">
        <v>167</v>
      </c>
      <c r="Q11" s="28" t="s">
        <v>168</v>
      </c>
      <c r="R11" s="33" t="s">
        <v>169</v>
      </c>
      <c r="S11" s="28" t="s">
        <v>170</v>
      </c>
      <c r="T11" s="27" t="s">
        <v>85</v>
      </c>
      <c r="U11" s="27" t="s">
        <v>32</v>
      </c>
      <c r="V11" s="28" t="s">
        <v>171</v>
      </c>
    </row>
    <row r="12" spans="1:22" ht="96" customHeight="1" x14ac:dyDescent="0.35">
      <c r="A12" s="19" t="s">
        <v>71</v>
      </c>
      <c r="B12" s="19" t="s">
        <v>72</v>
      </c>
      <c r="C12" s="20" t="s">
        <v>172</v>
      </c>
      <c r="D12" s="20" t="s">
        <v>173</v>
      </c>
      <c r="E12" s="20" t="s">
        <v>174</v>
      </c>
      <c r="F12" s="21">
        <v>2020</v>
      </c>
      <c r="G12" s="22"/>
      <c r="H12" s="23">
        <v>55</v>
      </c>
      <c r="I12" s="24" t="s">
        <v>128</v>
      </c>
      <c r="J12" s="22">
        <v>78.5</v>
      </c>
      <c r="K12" s="19" t="s">
        <v>147</v>
      </c>
      <c r="L12" s="20" t="s">
        <v>175</v>
      </c>
      <c r="M12" s="25" t="str">
        <f t="shared" si="0"/>
        <v/>
      </c>
      <c r="N12" s="24" t="s">
        <v>79</v>
      </c>
      <c r="O12" s="20" t="s">
        <v>176</v>
      </c>
      <c r="P12" s="20" t="s">
        <v>177</v>
      </c>
      <c r="Q12" s="20" t="s">
        <v>178</v>
      </c>
      <c r="R12" s="26" t="s">
        <v>179</v>
      </c>
      <c r="S12" s="20" t="s">
        <v>180</v>
      </c>
      <c r="T12" s="19" t="s">
        <v>85</v>
      </c>
      <c r="U12" s="19" t="s">
        <v>32</v>
      </c>
      <c r="V12" s="20" t="s">
        <v>181</v>
      </c>
    </row>
    <row r="13" spans="1:22" ht="96" customHeight="1" x14ac:dyDescent="0.35">
      <c r="A13" s="27" t="s">
        <v>71</v>
      </c>
      <c r="B13" s="27" t="s">
        <v>72</v>
      </c>
      <c r="C13" s="28" t="s">
        <v>172</v>
      </c>
      <c r="D13" s="28" t="s">
        <v>182</v>
      </c>
      <c r="E13" s="28" t="s">
        <v>75</v>
      </c>
      <c r="F13" s="29">
        <v>2021</v>
      </c>
      <c r="G13" s="30"/>
      <c r="H13" s="31">
        <v>52.38</v>
      </c>
      <c r="I13" s="32" t="s">
        <v>76</v>
      </c>
      <c r="J13" s="30">
        <v>17.25</v>
      </c>
      <c r="K13" s="27" t="s">
        <v>183</v>
      </c>
      <c r="L13" s="28" t="s">
        <v>184</v>
      </c>
      <c r="M13" s="25" t="str">
        <f t="shared" si="0"/>
        <v/>
      </c>
      <c r="N13" s="32" t="s">
        <v>79</v>
      </c>
      <c r="O13" s="28" t="s">
        <v>185</v>
      </c>
      <c r="P13" s="28" t="s">
        <v>186</v>
      </c>
      <c r="Q13" s="28" t="s">
        <v>187</v>
      </c>
      <c r="R13" s="33" t="s">
        <v>188</v>
      </c>
      <c r="S13" s="28" t="s">
        <v>189</v>
      </c>
      <c r="T13" s="27" t="s">
        <v>85</v>
      </c>
      <c r="U13" s="27" t="s">
        <v>32</v>
      </c>
      <c r="V13" s="28" t="s">
        <v>190</v>
      </c>
    </row>
    <row r="14" spans="1:22" ht="96" customHeight="1" x14ac:dyDescent="0.35">
      <c r="A14" s="19" t="s">
        <v>71</v>
      </c>
      <c r="B14" s="19" t="s">
        <v>72</v>
      </c>
      <c r="C14" s="20" t="s">
        <v>172</v>
      </c>
      <c r="D14" s="20" t="s">
        <v>191</v>
      </c>
      <c r="E14" s="20" t="s">
        <v>109</v>
      </c>
      <c r="F14" s="21">
        <v>2022</v>
      </c>
      <c r="G14" s="22"/>
      <c r="H14" s="23">
        <v>53.98</v>
      </c>
      <c r="I14" s="24" t="s">
        <v>76</v>
      </c>
      <c r="J14" s="22">
        <v>54.3</v>
      </c>
      <c r="K14" s="19" t="s">
        <v>89</v>
      </c>
      <c r="L14" s="20" t="s">
        <v>192</v>
      </c>
      <c r="M14" s="25" t="str">
        <f t="shared" si="0"/>
        <v/>
      </c>
      <c r="N14" s="24" t="s">
        <v>79</v>
      </c>
      <c r="O14" s="20" t="s">
        <v>193</v>
      </c>
      <c r="P14" s="20" t="s">
        <v>194</v>
      </c>
      <c r="Q14" s="20" t="s">
        <v>195</v>
      </c>
      <c r="R14" s="26" t="s">
        <v>196</v>
      </c>
      <c r="S14" s="20" t="s">
        <v>197</v>
      </c>
      <c r="T14" s="19" t="s">
        <v>85</v>
      </c>
      <c r="U14" s="19" t="s">
        <v>32</v>
      </c>
      <c r="V14" s="20" t="s">
        <v>198</v>
      </c>
    </row>
    <row r="15" spans="1:22" ht="96" customHeight="1" x14ac:dyDescent="0.35">
      <c r="A15" s="27" t="s">
        <v>71</v>
      </c>
      <c r="B15" s="27" t="s">
        <v>72</v>
      </c>
      <c r="C15" s="28" t="s">
        <v>172</v>
      </c>
      <c r="D15" s="28" t="s">
        <v>199</v>
      </c>
      <c r="E15" s="28" t="s">
        <v>88</v>
      </c>
      <c r="F15" s="29">
        <v>2023</v>
      </c>
      <c r="G15" s="30">
        <v>369.01</v>
      </c>
      <c r="H15" s="31">
        <v>58</v>
      </c>
      <c r="I15" s="32" t="s">
        <v>110</v>
      </c>
      <c r="J15" s="30">
        <v>106.43</v>
      </c>
      <c r="K15" s="27" t="s">
        <v>156</v>
      </c>
      <c r="L15" s="28" t="s">
        <v>200</v>
      </c>
      <c r="M15" s="25">
        <f t="shared" si="0"/>
        <v>5.9778646803630036</v>
      </c>
      <c r="N15" s="32" t="s">
        <v>91</v>
      </c>
      <c r="O15" s="28" t="s">
        <v>201</v>
      </c>
      <c r="P15" s="28" t="s">
        <v>202</v>
      </c>
      <c r="Q15" s="28" t="s">
        <v>203</v>
      </c>
      <c r="R15" s="33" t="s">
        <v>204</v>
      </c>
      <c r="S15" s="28" t="s">
        <v>205</v>
      </c>
      <c r="T15" s="27" t="s">
        <v>85</v>
      </c>
      <c r="U15" s="27" t="s">
        <v>32</v>
      </c>
      <c r="V15" s="28" t="s">
        <v>206</v>
      </c>
    </row>
    <row r="16" spans="1:22" ht="96" customHeight="1" x14ac:dyDescent="0.35">
      <c r="A16" s="19" t="s">
        <v>71</v>
      </c>
      <c r="B16" s="19" t="s">
        <v>72</v>
      </c>
      <c r="C16" s="20" t="s">
        <v>172</v>
      </c>
      <c r="D16" s="20" t="s">
        <v>207</v>
      </c>
      <c r="E16" s="20" t="s">
        <v>88</v>
      </c>
      <c r="F16" s="21">
        <v>2026</v>
      </c>
      <c r="G16" s="22">
        <v>225.67</v>
      </c>
      <c r="H16" s="23">
        <v>60</v>
      </c>
      <c r="I16" s="24" t="s">
        <v>76</v>
      </c>
      <c r="J16" s="22">
        <v>50.93</v>
      </c>
      <c r="K16" s="19" t="s">
        <v>208</v>
      </c>
      <c r="L16" s="20" t="s">
        <v>209</v>
      </c>
      <c r="M16" s="25">
        <f t="shared" si="0"/>
        <v>7.3849728385365534</v>
      </c>
      <c r="N16" s="24" t="s">
        <v>79</v>
      </c>
      <c r="O16" s="20" t="s">
        <v>210</v>
      </c>
      <c r="P16" s="20" t="s">
        <v>211</v>
      </c>
      <c r="Q16" s="20" t="s">
        <v>212</v>
      </c>
      <c r="R16" s="26" t="s">
        <v>213</v>
      </c>
      <c r="S16" s="20" t="s">
        <v>214</v>
      </c>
      <c r="T16" s="19" t="s">
        <v>85</v>
      </c>
      <c r="U16" s="19" t="s">
        <v>32</v>
      </c>
      <c r="V16" s="20" t="s">
        <v>215</v>
      </c>
    </row>
    <row r="17" spans="1:22" ht="96" customHeight="1" x14ac:dyDescent="0.35">
      <c r="A17" s="27" t="s">
        <v>71</v>
      </c>
      <c r="B17" s="27" t="s">
        <v>72</v>
      </c>
      <c r="C17" s="28" t="s">
        <v>172</v>
      </c>
      <c r="D17" s="28" t="s">
        <v>216</v>
      </c>
      <c r="E17" s="28" t="s">
        <v>109</v>
      </c>
      <c r="F17" s="29">
        <v>2026</v>
      </c>
      <c r="G17" s="30">
        <v>226.83</v>
      </c>
      <c r="H17" s="31">
        <v>93.27</v>
      </c>
      <c r="I17" s="32" t="s">
        <v>76</v>
      </c>
      <c r="J17" s="30">
        <v>98.66</v>
      </c>
      <c r="K17" s="27" t="s">
        <v>208</v>
      </c>
      <c r="L17" s="28" t="s">
        <v>100</v>
      </c>
      <c r="M17" s="25">
        <f t="shared" si="0"/>
        <v>2.4650027316833607</v>
      </c>
      <c r="N17" s="32" t="s">
        <v>79</v>
      </c>
      <c r="O17" s="28" t="s">
        <v>217</v>
      </c>
      <c r="P17" s="28" t="s">
        <v>218</v>
      </c>
      <c r="Q17" s="28" t="s">
        <v>219</v>
      </c>
      <c r="R17" s="33" t="s">
        <v>220</v>
      </c>
      <c r="S17" s="28" t="s">
        <v>221</v>
      </c>
      <c r="T17" s="27" t="s">
        <v>85</v>
      </c>
      <c r="U17" s="27" t="s">
        <v>32</v>
      </c>
      <c r="V17" s="28" t="s">
        <v>222</v>
      </c>
    </row>
    <row r="18" spans="1:22" ht="96" customHeight="1" x14ac:dyDescent="0.35">
      <c r="A18" s="19" t="s">
        <v>71</v>
      </c>
      <c r="B18" s="19" t="s">
        <v>72</v>
      </c>
      <c r="C18" s="20" t="s">
        <v>223</v>
      </c>
      <c r="D18" s="20" t="s">
        <v>224</v>
      </c>
      <c r="E18" s="20" t="s">
        <v>155</v>
      </c>
      <c r="F18" s="21">
        <v>2023</v>
      </c>
      <c r="G18" s="22">
        <v>587.52</v>
      </c>
      <c r="H18" s="23">
        <v>51</v>
      </c>
      <c r="I18" s="24" t="s">
        <v>76</v>
      </c>
      <c r="J18" s="22">
        <v>189.1</v>
      </c>
      <c r="K18" s="19" t="s">
        <v>89</v>
      </c>
      <c r="L18" s="20" t="s">
        <v>100</v>
      </c>
      <c r="M18" s="25">
        <f t="shared" si="0"/>
        <v>6.0920148069804334</v>
      </c>
      <c r="N18" s="24" t="s">
        <v>91</v>
      </c>
      <c r="O18" s="20" t="s">
        <v>225</v>
      </c>
      <c r="P18" s="20" t="s">
        <v>226</v>
      </c>
      <c r="Q18" s="20" t="s">
        <v>227</v>
      </c>
      <c r="R18" s="26" t="s">
        <v>228</v>
      </c>
      <c r="S18" s="20" t="s">
        <v>229</v>
      </c>
      <c r="T18" s="19" t="s">
        <v>85</v>
      </c>
      <c r="U18" s="19" t="s">
        <v>32</v>
      </c>
      <c r="V18" s="20" t="s">
        <v>230</v>
      </c>
    </row>
    <row r="19" spans="1:22" ht="96" customHeight="1" x14ac:dyDescent="0.35">
      <c r="A19" s="27" t="s">
        <v>71</v>
      </c>
      <c r="B19" s="27" t="s">
        <v>72</v>
      </c>
      <c r="C19" s="28" t="s">
        <v>223</v>
      </c>
      <c r="D19" s="28" t="s">
        <v>231</v>
      </c>
      <c r="E19" s="28" t="s">
        <v>232</v>
      </c>
      <c r="F19" s="29">
        <v>2026</v>
      </c>
      <c r="G19" s="30">
        <v>320</v>
      </c>
      <c r="H19" s="31">
        <v>100</v>
      </c>
      <c r="I19" s="32" t="s">
        <v>128</v>
      </c>
      <c r="J19" s="30">
        <v>133.30000000000001</v>
      </c>
      <c r="K19" s="27" t="s">
        <v>77</v>
      </c>
      <c r="L19" s="28" t="s">
        <v>233</v>
      </c>
      <c r="M19" s="25">
        <f t="shared" si="0"/>
        <v>2.4006001500375094</v>
      </c>
      <c r="N19" s="32" t="s">
        <v>234</v>
      </c>
      <c r="O19" s="28" t="s">
        <v>235</v>
      </c>
      <c r="P19" s="28" t="s">
        <v>236</v>
      </c>
      <c r="Q19" s="28" t="s">
        <v>237</v>
      </c>
      <c r="R19" s="33" t="s">
        <v>238</v>
      </c>
      <c r="S19" s="28" t="s">
        <v>239</v>
      </c>
      <c r="T19" s="27" t="s">
        <v>85</v>
      </c>
      <c r="U19" s="27" t="s">
        <v>36</v>
      </c>
      <c r="V19" s="28" t="s">
        <v>240</v>
      </c>
    </row>
    <row r="20" spans="1:22" ht="96" customHeight="1" x14ac:dyDescent="0.35">
      <c r="A20" s="19" t="s">
        <v>71</v>
      </c>
      <c r="B20" s="19" t="s">
        <v>72</v>
      </c>
      <c r="C20" s="20" t="s">
        <v>241</v>
      </c>
      <c r="D20" s="20" t="s">
        <v>242</v>
      </c>
      <c r="E20" s="20" t="s">
        <v>174</v>
      </c>
      <c r="F20" s="21">
        <v>2023</v>
      </c>
      <c r="G20" s="22">
        <v>2825</v>
      </c>
      <c r="H20" s="23">
        <v>100</v>
      </c>
      <c r="I20" s="24" t="s">
        <v>128</v>
      </c>
      <c r="J20" s="22">
        <v>622</v>
      </c>
      <c r="K20" s="19" t="s">
        <v>156</v>
      </c>
      <c r="L20" s="20" t="s">
        <v>243</v>
      </c>
      <c r="M20" s="25">
        <f t="shared" si="0"/>
        <v>4.541800643086817</v>
      </c>
      <c r="N20" s="24" t="s">
        <v>91</v>
      </c>
      <c r="O20" s="20" t="s">
        <v>244</v>
      </c>
      <c r="P20" s="20" t="s">
        <v>245</v>
      </c>
      <c r="Q20" s="20" t="s">
        <v>246</v>
      </c>
      <c r="R20" s="26" t="s">
        <v>247</v>
      </c>
      <c r="S20" s="20" t="s">
        <v>248</v>
      </c>
      <c r="T20" s="19" t="s">
        <v>85</v>
      </c>
      <c r="U20" s="19" t="s">
        <v>34</v>
      </c>
      <c r="V20" s="20" t="s">
        <v>249</v>
      </c>
    </row>
    <row r="21" spans="1:22" ht="96" customHeight="1" x14ac:dyDescent="0.35">
      <c r="A21" s="27" t="s">
        <v>71</v>
      </c>
      <c r="B21" s="27" t="s">
        <v>72</v>
      </c>
      <c r="C21" s="28" t="s">
        <v>241</v>
      </c>
      <c r="D21" s="28" t="s">
        <v>250</v>
      </c>
      <c r="E21" s="28" t="s">
        <v>174</v>
      </c>
      <c r="F21" s="29">
        <v>2025</v>
      </c>
      <c r="G21" s="30">
        <v>449</v>
      </c>
      <c r="H21" s="31">
        <v>100</v>
      </c>
      <c r="I21" s="32" t="s">
        <v>128</v>
      </c>
      <c r="J21" s="30">
        <v>87</v>
      </c>
      <c r="K21" s="27" t="s">
        <v>208</v>
      </c>
      <c r="L21" s="28" t="s">
        <v>251</v>
      </c>
      <c r="M21" s="25">
        <f t="shared" si="0"/>
        <v>5.1609195402298846</v>
      </c>
      <c r="N21" s="32" t="s">
        <v>79</v>
      </c>
      <c r="O21" s="28" t="s">
        <v>252</v>
      </c>
      <c r="P21" s="28" t="s">
        <v>253</v>
      </c>
      <c r="Q21" s="28" t="s">
        <v>254</v>
      </c>
      <c r="R21" s="33" t="s">
        <v>255</v>
      </c>
      <c r="S21" s="28" t="s">
        <v>256</v>
      </c>
      <c r="T21" s="27" t="s">
        <v>85</v>
      </c>
      <c r="U21" s="27" t="s">
        <v>36</v>
      </c>
      <c r="V21" s="28" t="s">
        <v>257</v>
      </c>
    </row>
    <row r="22" spans="1:22" ht="96" customHeight="1" x14ac:dyDescent="0.35">
      <c r="A22" s="19" t="s">
        <v>71</v>
      </c>
      <c r="B22" s="19" t="s">
        <v>72</v>
      </c>
      <c r="C22" s="20" t="s">
        <v>258</v>
      </c>
      <c r="D22" s="20" t="s">
        <v>259</v>
      </c>
      <c r="E22" s="20" t="s">
        <v>75</v>
      </c>
      <c r="F22" s="21">
        <v>2021</v>
      </c>
      <c r="G22" s="22"/>
      <c r="H22" s="23">
        <v>51</v>
      </c>
      <c r="I22" s="24" t="s">
        <v>76</v>
      </c>
      <c r="J22" s="22"/>
      <c r="K22" s="19" t="s">
        <v>183</v>
      </c>
      <c r="L22" s="20"/>
      <c r="M22" s="25" t="str">
        <f t="shared" si="0"/>
        <v/>
      </c>
      <c r="N22" s="24" t="s">
        <v>91</v>
      </c>
      <c r="O22" s="20" t="s">
        <v>260</v>
      </c>
      <c r="P22" s="20" t="s">
        <v>261</v>
      </c>
      <c r="Q22" s="20" t="s">
        <v>262</v>
      </c>
      <c r="R22" s="26" t="s">
        <v>263</v>
      </c>
      <c r="S22" s="20" t="s">
        <v>264</v>
      </c>
      <c r="T22" s="19" t="s">
        <v>85</v>
      </c>
      <c r="U22" s="19" t="s">
        <v>36</v>
      </c>
      <c r="V22" s="20" t="s">
        <v>265</v>
      </c>
    </row>
    <row r="23" spans="1:22" ht="96" customHeight="1" x14ac:dyDescent="0.35">
      <c r="A23" s="27" t="s">
        <v>71</v>
      </c>
      <c r="B23" s="27" t="s">
        <v>72</v>
      </c>
      <c r="C23" s="28" t="s">
        <v>258</v>
      </c>
      <c r="D23" s="28" t="s">
        <v>266</v>
      </c>
      <c r="E23" s="28" t="s">
        <v>75</v>
      </c>
      <c r="F23" s="29">
        <v>2024</v>
      </c>
      <c r="G23" s="30">
        <v>44.5</v>
      </c>
      <c r="H23" s="34"/>
      <c r="I23" s="32" t="s">
        <v>76</v>
      </c>
      <c r="J23" s="30">
        <v>30.7</v>
      </c>
      <c r="K23" s="27" t="s">
        <v>77</v>
      </c>
      <c r="L23" s="28" t="s">
        <v>267</v>
      </c>
      <c r="M23" s="25" t="str">
        <f t="shared" si="0"/>
        <v/>
      </c>
      <c r="N23" s="32" t="s">
        <v>79</v>
      </c>
      <c r="O23" s="28" t="s">
        <v>268</v>
      </c>
      <c r="P23" s="28" t="s">
        <v>269</v>
      </c>
      <c r="Q23" s="28" t="s">
        <v>270</v>
      </c>
      <c r="R23" s="33" t="s">
        <v>263</v>
      </c>
      <c r="S23" s="28" t="s">
        <v>271</v>
      </c>
      <c r="T23" s="27" t="s">
        <v>85</v>
      </c>
      <c r="U23" s="27" t="s">
        <v>36</v>
      </c>
      <c r="V23" s="28" t="s">
        <v>272</v>
      </c>
    </row>
    <row r="24" spans="1:22" ht="96" customHeight="1" x14ac:dyDescent="0.35">
      <c r="A24" s="19" t="s">
        <v>71</v>
      </c>
      <c r="B24" s="19" t="s">
        <v>72</v>
      </c>
      <c r="C24" s="20" t="s">
        <v>273</v>
      </c>
      <c r="D24" s="20" t="s">
        <v>274</v>
      </c>
      <c r="E24" s="20" t="s">
        <v>174</v>
      </c>
      <c r="F24" s="21">
        <v>2024</v>
      </c>
      <c r="G24" s="22">
        <v>177.63</v>
      </c>
      <c r="H24" s="23">
        <v>49.6</v>
      </c>
      <c r="I24" s="24" t="s">
        <v>128</v>
      </c>
      <c r="J24" s="22">
        <v>183</v>
      </c>
      <c r="K24" s="19" t="s">
        <v>77</v>
      </c>
      <c r="L24" s="20" t="s">
        <v>275</v>
      </c>
      <c r="M24" s="25">
        <f t="shared" si="0"/>
        <v>1.9569672131147542</v>
      </c>
      <c r="N24" s="24" t="s">
        <v>79</v>
      </c>
      <c r="O24" s="20" t="s">
        <v>276</v>
      </c>
      <c r="P24" s="20" t="s">
        <v>277</v>
      </c>
      <c r="Q24" s="20" t="s">
        <v>278</v>
      </c>
      <c r="R24" s="26" t="s">
        <v>279</v>
      </c>
      <c r="S24" s="20" t="s">
        <v>280</v>
      </c>
      <c r="T24" s="19" t="s">
        <v>85</v>
      </c>
      <c r="U24" s="19" t="s">
        <v>32</v>
      </c>
      <c r="V24" s="20" t="s">
        <v>281</v>
      </c>
    </row>
    <row r="25" spans="1:22" ht="96" customHeight="1" x14ac:dyDescent="0.35">
      <c r="A25" s="27" t="s">
        <v>71</v>
      </c>
      <c r="B25" s="27" t="s">
        <v>72</v>
      </c>
      <c r="C25" s="28" t="s">
        <v>273</v>
      </c>
      <c r="D25" s="28" t="s">
        <v>282</v>
      </c>
      <c r="E25" s="28" t="s">
        <v>232</v>
      </c>
      <c r="F25" s="29">
        <v>2021</v>
      </c>
      <c r="G25" s="30"/>
      <c r="H25" s="31">
        <v>22.66</v>
      </c>
      <c r="I25" s="32" t="s">
        <v>76</v>
      </c>
      <c r="J25" s="30">
        <v>9.76</v>
      </c>
      <c r="K25" s="27" t="s">
        <v>183</v>
      </c>
      <c r="L25" s="28" t="s">
        <v>275</v>
      </c>
      <c r="M25" s="25" t="str">
        <f t="shared" si="0"/>
        <v/>
      </c>
      <c r="N25" s="32" t="s">
        <v>79</v>
      </c>
      <c r="O25" s="28" t="s">
        <v>283</v>
      </c>
      <c r="P25" s="28" t="s">
        <v>284</v>
      </c>
      <c r="Q25" s="28" t="s">
        <v>285</v>
      </c>
      <c r="R25" s="33" t="s">
        <v>286</v>
      </c>
      <c r="S25" s="28" t="s">
        <v>287</v>
      </c>
      <c r="T25" s="27" t="s">
        <v>85</v>
      </c>
      <c r="U25" s="27" t="s">
        <v>32</v>
      </c>
      <c r="V25" s="28" t="s">
        <v>288</v>
      </c>
    </row>
    <row r="26" spans="1:22" ht="96" customHeight="1" x14ac:dyDescent="0.35">
      <c r="A26" s="19" t="s">
        <v>71</v>
      </c>
      <c r="B26" s="19" t="s">
        <v>72</v>
      </c>
      <c r="C26" s="20" t="s">
        <v>273</v>
      </c>
      <c r="D26" s="20" t="s">
        <v>289</v>
      </c>
      <c r="E26" s="20" t="s">
        <v>75</v>
      </c>
      <c r="F26" s="21">
        <v>2022</v>
      </c>
      <c r="G26" s="22">
        <v>432</v>
      </c>
      <c r="H26" s="23">
        <v>100</v>
      </c>
      <c r="I26" s="24" t="s">
        <v>128</v>
      </c>
      <c r="J26" s="22"/>
      <c r="K26" s="19"/>
      <c r="L26" s="20"/>
      <c r="M26" s="25" t="str">
        <f t="shared" si="0"/>
        <v/>
      </c>
      <c r="N26" s="24" t="s">
        <v>234</v>
      </c>
      <c r="O26" s="20" t="s">
        <v>290</v>
      </c>
      <c r="P26" s="20" t="s">
        <v>291</v>
      </c>
      <c r="Q26" s="20" t="s">
        <v>292</v>
      </c>
      <c r="R26" s="26" t="s">
        <v>293</v>
      </c>
      <c r="S26" s="20" t="s">
        <v>294</v>
      </c>
      <c r="T26" s="19" t="s">
        <v>85</v>
      </c>
      <c r="U26" s="19" t="s">
        <v>34</v>
      </c>
      <c r="V26" s="20" t="s">
        <v>295</v>
      </c>
    </row>
    <row r="27" spans="1:22" ht="96" customHeight="1" x14ac:dyDescent="0.35">
      <c r="A27" s="27" t="s">
        <v>71</v>
      </c>
      <c r="B27" s="27" t="s">
        <v>72</v>
      </c>
      <c r="C27" s="28" t="s">
        <v>296</v>
      </c>
      <c r="D27" s="28" t="s">
        <v>297</v>
      </c>
      <c r="E27" s="28" t="s">
        <v>174</v>
      </c>
      <c r="F27" s="29">
        <v>2026</v>
      </c>
      <c r="G27" s="30">
        <v>197.96</v>
      </c>
      <c r="H27" s="31">
        <v>95</v>
      </c>
      <c r="I27" s="32" t="s">
        <v>76</v>
      </c>
      <c r="J27" s="30">
        <v>20.149999999999999</v>
      </c>
      <c r="K27" s="27" t="s">
        <v>208</v>
      </c>
      <c r="L27" s="28" t="s">
        <v>267</v>
      </c>
      <c r="M27" s="25">
        <f t="shared" si="0"/>
        <v>10.341386966174744</v>
      </c>
      <c r="N27" s="32" t="s">
        <v>91</v>
      </c>
      <c r="O27" s="28" t="s">
        <v>298</v>
      </c>
      <c r="P27" s="28" t="s">
        <v>299</v>
      </c>
      <c r="Q27" s="28" t="s">
        <v>300</v>
      </c>
      <c r="R27" s="33" t="s">
        <v>301</v>
      </c>
      <c r="S27" s="28" t="s">
        <v>302</v>
      </c>
      <c r="T27" s="27" t="s">
        <v>85</v>
      </c>
      <c r="U27" s="27" t="s">
        <v>32</v>
      </c>
      <c r="V27" s="28" t="s">
        <v>303</v>
      </c>
    </row>
    <row r="28" spans="1:22" ht="96" customHeight="1" x14ac:dyDescent="0.35">
      <c r="A28" s="19" t="s">
        <v>71</v>
      </c>
      <c r="B28" s="19" t="s">
        <v>72</v>
      </c>
      <c r="C28" s="20" t="s">
        <v>304</v>
      </c>
      <c r="D28" s="20" t="s">
        <v>305</v>
      </c>
      <c r="E28" s="20" t="s">
        <v>109</v>
      </c>
      <c r="F28" s="21">
        <v>2024</v>
      </c>
      <c r="G28" s="22">
        <v>390</v>
      </c>
      <c r="H28" s="23">
        <v>100</v>
      </c>
      <c r="I28" s="24" t="s">
        <v>128</v>
      </c>
      <c r="J28" s="22">
        <v>128.88999999999999</v>
      </c>
      <c r="K28" s="19" t="s">
        <v>77</v>
      </c>
      <c r="L28" s="20" t="s">
        <v>306</v>
      </c>
      <c r="M28" s="25">
        <f t="shared" si="0"/>
        <v>3.0258359841725504</v>
      </c>
      <c r="N28" s="24" t="s">
        <v>91</v>
      </c>
      <c r="O28" s="20" t="s">
        <v>307</v>
      </c>
      <c r="P28" s="20" t="s">
        <v>308</v>
      </c>
      <c r="Q28" s="20" t="s">
        <v>309</v>
      </c>
      <c r="R28" s="26" t="s">
        <v>310</v>
      </c>
      <c r="S28" s="20" t="s">
        <v>311</v>
      </c>
      <c r="T28" s="19" t="s">
        <v>85</v>
      </c>
      <c r="U28" s="19" t="s">
        <v>32</v>
      </c>
      <c r="V28" s="20" t="s">
        <v>312</v>
      </c>
    </row>
    <row r="29" spans="1:22" ht="96" customHeight="1" x14ac:dyDescent="0.35">
      <c r="A29" s="27" t="s">
        <v>71</v>
      </c>
      <c r="B29" s="27" t="s">
        <v>72</v>
      </c>
      <c r="C29" s="28" t="s">
        <v>313</v>
      </c>
      <c r="D29" s="28" t="s">
        <v>314</v>
      </c>
      <c r="E29" s="28" t="s">
        <v>232</v>
      </c>
      <c r="F29" s="29">
        <v>2025</v>
      </c>
      <c r="G29" s="30">
        <v>120</v>
      </c>
      <c r="H29" s="31">
        <v>100</v>
      </c>
      <c r="I29" s="32" t="s">
        <v>110</v>
      </c>
      <c r="J29" s="30">
        <v>51.53</v>
      </c>
      <c r="K29" s="27" t="s">
        <v>77</v>
      </c>
      <c r="L29" s="28" t="s">
        <v>157</v>
      </c>
      <c r="M29" s="25">
        <f t="shared" si="0"/>
        <v>2.3287405394915583</v>
      </c>
      <c r="N29" s="32" t="s">
        <v>79</v>
      </c>
      <c r="O29" s="28" t="s">
        <v>315</v>
      </c>
      <c r="P29" s="28" t="s">
        <v>316</v>
      </c>
      <c r="Q29" s="28" t="s">
        <v>317</v>
      </c>
      <c r="R29" s="33" t="s">
        <v>318</v>
      </c>
      <c r="S29" s="28" t="s">
        <v>319</v>
      </c>
      <c r="T29" s="27" t="s">
        <v>85</v>
      </c>
      <c r="U29" s="27" t="s">
        <v>32</v>
      </c>
      <c r="V29" s="28" t="s">
        <v>320</v>
      </c>
    </row>
    <row r="30" spans="1:22" ht="96" customHeight="1" x14ac:dyDescent="0.35">
      <c r="A30" s="19" t="s">
        <v>71</v>
      </c>
      <c r="B30" s="19" t="s">
        <v>72</v>
      </c>
      <c r="C30" s="20" t="s">
        <v>321</v>
      </c>
      <c r="D30" s="20" t="s">
        <v>322</v>
      </c>
      <c r="E30" s="20" t="s">
        <v>323</v>
      </c>
      <c r="F30" s="21">
        <v>2023</v>
      </c>
      <c r="G30" s="22">
        <v>74</v>
      </c>
      <c r="H30" s="23">
        <v>51</v>
      </c>
      <c r="I30" s="24" t="s">
        <v>76</v>
      </c>
      <c r="J30" s="22">
        <v>86.97</v>
      </c>
      <c r="K30" s="19" t="s">
        <v>89</v>
      </c>
      <c r="L30" s="20" t="s">
        <v>324</v>
      </c>
      <c r="M30" s="25">
        <f t="shared" si="0"/>
        <v>1.6683688538080519</v>
      </c>
      <c r="N30" s="24" t="s">
        <v>91</v>
      </c>
      <c r="O30" s="20" t="s">
        <v>325</v>
      </c>
      <c r="P30" s="20" t="s">
        <v>326</v>
      </c>
      <c r="Q30" s="20" t="s">
        <v>327</v>
      </c>
      <c r="R30" s="26" t="s">
        <v>328</v>
      </c>
      <c r="S30" s="20" t="s">
        <v>329</v>
      </c>
      <c r="T30" s="19" t="s">
        <v>85</v>
      </c>
      <c r="U30" s="19" t="s">
        <v>32</v>
      </c>
      <c r="V30" s="20" t="s">
        <v>330</v>
      </c>
    </row>
    <row r="31" spans="1:22" ht="96" customHeight="1" x14ac:dyDescent="0.35">
      <c r="A31" s="27" t="s">
        <v>71</v>
      </c>
      <c r="B31" s="27" t="s">
        <v>72</v>
      </c>
      <c r="C31" s="28" t="s">
        <v>321</v>
      </c>
      <c r="D31" s="28" t="s">
        <v>331</v>
      </c>
      <c r="E31" s="28" t="s">
        <v>332</v>
      </c>
      <c r="F31" s="29">
        <v>2022</v>
      </c>
      <c r="G31" s="30">
        <v>22</v>
      </c>
      <c r="H31" s="31">
        <v>100</v>
      </c>
      <c r="I31" s="32" t="s">
        <v>128</v>
      </c>
      <c r="J31" s="30"/>
      <c r="K31" s="27"/>
      <c r="L31" s="28"/>
      <c r="M31" s="25" t="str">
        <f t="shared" si="0"/>
        <v/>
      </c>
      <c r="N31" s="32" t="s">
        <v>91</v>
      </c>
      <c r="O31" s="28" t="s">
        <v>333</v>
      </c>
      <c r="P31" s="28" t="s">
        <v>334</v>
      </c>
      <c r="Q31" s="28" t="s">
        <v>335</v>
      </c>
      <c r="R31" s="33" t="s">
        <v>336</v>
      </c>
      <c r="S31" s="28" t="s">
        <v>337</v>
      </c>
      <c r="T31" s="27" t="s">
        <v>85</v>
      </c>
      <c r="U31" s="27" t="s">
        <v>36</v>
      </c>
      <c r="V31" s="28" t="s">
        <v>338</v>
      </c>
    </row>
    <row r="32" spans="1:22" ht="96" customHeight="1" x14ac:dyDescent="0.35">
      <c r="A32" s="19" t="s">
        <v>71</v>
      </c>
      <c r="B32" s="19" t="s">
        <v>72</v>
      </c>
      <c r="C32" s="20" t="s">
        <v>321</v>
      </c>
      <c r="D32" s="20" t="s">
        <v>339</v>
      </c>
      <c r="E32" s="20" t="s">
        <v>332</v>
      </c>
      <c r="F32" s="21">
        <v>2023</v>
      </c>
      <c r="G32" s="22"/>
      <c r="H32" s="23">
        <v>50</v>
      </c>
      <c r="I32" s="24" t="s">
        <v>99</v>
      </c>
      <c r="J32" s="22"/>
      <c r="K32" s="19"/>
      <c r="L32" s="20"/>
      <c r="M32" s="25" t="str">
        <f t="shared" si="0"/>
        <v/>
      </c>
      <c r="N32" s="24" t="s">
        <v>138</v>
      </c>
      <c r="O32" s="20" t="s">
        <v>340</v>
      </c>
      <c r="P32" s="20" t="s">
        <v>341</v>
      </c>
      <c r="Q32" s="20" t="s">
        <v>342</v>
      </c>
      <c r="R32" s="26" t="s">
        <v>343</v>
      </c>
      <c r="S32" s="20" t="s">
        <v>344</v>
      </c>
      <c r="T32" s="19" t="s">
        <v>85</v>
      </c>
      <c r="U32" s="19" t="s">
        <v>34</v>
      </c>
      <c r="V32" s="20" t="s">
        <v>345</v>
      </c>
    </row>
  </sheetData>
  <autoFilter ref="A1:V32" xr:uid="{00000000-0009-0000-0000-000001000000}"/>
  <conditionalFormatting sqref="U2:U32">
    <cfRule type="expression" dxfId="13" priority="2">
      <formula>U2="High"</formula>
    </cfRule>
    <cfRule type="expression" dxfId="12" priority="3">
      <formula>U2="Medium"</formula>
    </cfRule>
    <cfRule type="expression" dxfId="11" priority="4">
      <formula>OR(U2="Low",ISNUMBER(SEARCH("UNCONFIRMED",U2)))</formula>
    </cfRule>
  </conditionalFormatting>
  <hyperlinks>
    <hyperlink ref="R2" r:id="rId1" xr:uid="{00000000-0004-0000-0100-000000000000}"/>
    <hyperlink ref="R3" r:id="rId2" xr:uid="{00000000-0004-0000-0100-000001000000}"/>
    <hyperlink ref="R4" r:id="rId3" xr:uid="{00000000-0004-0000-0100-000002000000}"/>
    <hyperlink ref="R5" r:id="rId4" xr:uid="{00000000-0004-0000-0100-000003000000}"/>
    <hyperlink ref="R6" r:id="rId5" xr:uid="{00000000-0004-0000-0100-000004000000}"/>
    <hyperlink ref="R7" r:id="rId6" xr:uid="{00000000-0004-0000-0100-000005000000}"/>
    <hyperlink ref="R8" r:id="rId7" xr:uid="{00000000-0004-0000-0100-000006000000}"/>
    <hyperlink ref="R9" r:id="rId8" xr:uid="{00000000-0004-0000-0100-000007000000}"/>
    <hyperlink ref="R10" r:id="rId9" xr:uid="{00000000-0004-0000-0100-000008000000}"/>
    <hyperlink ref="R11" r:id="rId10" xr:uid="{00000000-0004-0000-0100-000009000000}"/>
    <hyperlink ref="R12" r:id="rId11" xr:uid="{00000000-0004-0000-0100-00000A000000}"/>
    <hyperlink ref="R13" r:id="rId12" xr:uid="{00000000-0004-0000-0100-00000B000000}"/>
    <hyperlink ref="R14" r:id="rId13" xr:uid="{00000000-0004-0000-0100-00000C000000}"/>
    <hyperlink ref="R15" r:id="rId14" xr:uid="{00000000-0004-0000-0100-00000D000000}"/>
    <hyperlink ref="R16" r:id="rId15" xr:uid="{00000000-0004-0000-0100-00000E000000}"/>
    <hyperlink ref="R17" r:id="rId16" xr:uid="{00000000-0004-0000-0100-00000F000000}"/>
    <hyperlink ref="R18" r:id="rId17" xr:uid="{00000000-0004-0000-0100-000010000000}"/>
    <hyperlink ref="R19" r:id="rId18" xr:uid="{00000000-0004-0000-0100-000011000000}"/>
    <hyperlink ref="R20" r:id="rId19" xr:uid="{00000000-0004-0000-0100-000012000000}"/>
    <hyperlink ref="R21" r:id="rId20" xr:uid="{00000000-0004-0000-0100-000013000000}"/>
    <hyperlink ref="R22" r:id="rId21" xr:uid="{00000000-0004-0000-0100-000014000000}"/>
    <hyperlink ref="R23" r:id="rId22" xr:uid="{00000000-0004-0000-0100-000015000000}"/>
    <hyperlink ref="R24" r:id="rId23" xr:uid="{00000000-0004-0000-0100-000016000000}"/>
    <hyperlink ref="R25" r:id="rId24" xr:uid="{00000000-0004-0000-0100-000017000000}"/>
    <hyperlink ref="R26" r:id="rId25" xr:uid="{00000000-0004-0000-0100-000018000000}"/>
    <hyperlink ref="R27" r:id="rId26" xr:uid="{00000000-0004-0000-0100-000019000000}"/>
    <hyperlink ref="R28" r:id="rId27" xr:uid="{00000000-0004-0000-0100-00001A000000}"/>
    <hyperlink ref="R29" r:id="rId28" xr:uid="{00000000-0004-0000-0100-00001B000000}"/>
    <hyperlink ref="R30" r:id="rId29" xr:uid="{00000000-0004-0000-0100-00001C000000}"/>
    <hyperlink ref="R31" r:id="rId30" xr:uid="{00000000-0004-0000-0100-00001D000000}"/>
    <hyperlink ref="R32" r:id="rId31" xr:uid="{00000000-0004-0000-0100-00001E000000}"/>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8102E"/>
    <pageSetUpPr fitToPage="1"/>
  </sheetPr>
  <dimension ref="A1:W30"/>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328125" defaultRowHeight="14.5" x14ac:dyDescent="0.35"/>
  <cols>
    <col min="1" max="1" width="8" customWidth="1"/>
    <col min="2" max="2" width="11" customWidth="1"/>
    <col min="3" max="3" width="24" customWidth="1"/>
    <col min="4" max="4" width="28" customWidth="1"/>
    <col min="5" max="5" width="22" customWidth="1"/>
    <col min="6" max="6" width="9" customWidth="1"/>
    <col min="7" max="7" width="15" customWidth="1"/>
    <col min="8" max="8" width="9" customWidth="1"/>
    <col min="9" max="9" width="18" customWidth="1"/>
    <col min="10" max="10" width="14" customWidth="1"/>
    <col min="11" max="11" width="9" customWidth="1"/>
    <col min="12" max="12" width="30" customWidth="1"/>
    <col min="13" max="13" width="11" customWidth="1"/>
    <col min="14" max="14" width="18" customWidth="1"/>
    <col min="15" max="15" width="46" customWidth="1"/>
    <col min="16" max="16" width="32" customWidth="1"/>
    <col min="17" max="17" width="52" customWidth="1"/>
    <col min="18" max="18" width="20" customWidth="1"/>
    <col min="19" max="19" width="26" customWidth="1"/>
    <col min="20" max="20" width="16" customWidth="1"/>
    <col min="21" max="22" width="12" customWidth="1"/>
    <col min="23" max="23" width="70" customWidth="1"/>
  </cols>
  <sheetData>
    <row r="1" spans="1:23" ht="34" customHeight="1" x14ac:dyDescent="0.35">
      <c r="A1" s="18" t="s">
        <v>49</v>
      </c>
      <c r="B1" s="18" t="s">
        <v>50</v>
      </c>
      <c r="C1" s="18" t="s">
        <v>51</v>
      </c>
      <c r="D1" s="18" t="s">
        <v>52</v>
      </c>
      <c r="E1" s="18" t="s">
        <v>53</v>
      </c>
      <c r="F1" s="18" t="s">
        <v>54</v>
      </c>
      <c r="G1" s="18" t="s">
        <v>55</v>
      </c>
      <c r="H1" s="18" t="s">
        <v>56</v>
      </c>
      <c r="I1" s="18" t="s">
        <v>57</v>
      </c>
      <c r="J1" s="18" t="s">
        <v>58</v>
      </c>
      <c r="K1" s="18" t="s">
        <v>59</v>
      </c>
      <c r="L1" s="18" t="s">
        <v>60</v>
      </c>
      <c r="M1" s="18" t="s">
        <v>61</v>
      </c>
      <c r="N1" s="18" t="s">
        <v>62</v>
      </c>
      <c r="O1" s="18" t="s">
        <v>63</v>
      </c>
      <c r="P1" s="18" t="s">
        <v>64</v>
      </c>
      <c r="Q1" s="18" t="s">
        <v>65</v>
      </c>
      <c r="R1" s="18" t="s">
        <v>346</v>
      </c>
      <c r="S1" s="18" t="s">
        <v>66</v>
      </c>
      <c r="T1" s="18" t="s">
        <v>67</v>
      </c>
      <c r="U1" s="18" t="s">
        <v>68</v>
      </c>
      <c r="V1" s="18" t="s">
        <v>69</v>
      </c>
      <c r="W1" s="18" t="s">
        <v>70</v>
      </c>
    </row>
    <row r="2" spans="1:23" ht="96" customHeight="1" x14ac:dyDescent="0.35">
      <c r="A2" s="19" t="s">
        <v>347</v>
      </c>
      <c r="B2" s="19" t="s">
        <v>348</v>
      </c>
      <c r="C2" s="20" t="s">
        <v>73</v>
      </c>
      <c r="D2" s="20" t="s">
        <v>349</v>
      </c>
      <c r="E2" s="20" t="s">
        <v>323</v>
      </c>
      <c r="F2" s="21">
        <v>2001</v>
      </c>
      <c r="G2" s="22"/>
      <c r="H2" s="35"/>
      <c r="I2" s="24"/>
      <c r="J2" s="22"/>
      <c r="K2" s="19"/>
      <c r="L2" s="20"/>
      <c r="M2" s="25" t="str">
        <f t="shared" ref="M2:M30" si="0">IF(AND(ISNUMBER(G2),ISNUMBER(H2),ISNUMBER(J2),N(J2)&gt;0),G2/(H2/100)/J2,"")</f>
        <v/>
      </c>
      <c r="N2" s="24" t="s">
        <v>91</v>
      </c>
      <c r="O2" s="20" t="s">
        <v>350</v>
      </c>
      <c r="P2" s="20" t="s">
        <v>351</v>
      </c>
      <c r="Q2" s="20" t="s">
        <v>352</v>
      </c>
      <c r="R2" s="24" t="s">
        <v>353</v>
      </c>
      <c r="S2" s="26" t="s">
        <v>354</v>
      </c>
      <c r="T2" s="20" t="s">
        <v>355</v>
      </c>
      <c r="U2" s="19" t="s">
        <v>85</v>
      </c>
      <c r="V2" s="19" t="s">
        <v>36</v>
      </c>
      <c r="W2" s="20" t="s">
        <v>356</v>
      </c>
    </row>
    <row r="3" spans="1:23" ht="96" customHeight="1" x14ac:dyDescent="0.35">
      <c r="A3" s="27" t="s">
        <v>347</v>
      </c>
      <c r="B3" s="27" t="s">
        <v>348</v>
      </c>
      <c r="C3" s="28" t="s">
        <v>73</v>
      </c>
      <c r="D3" s="28" t="s">
        <v>357</v>
      </c>
      <c r="E3" s="28" t="s">
        <v>232</v>
      </c>
      <c r="F3" s="29">
        <v>2019</v>
      </c>
      <c r="G3" s="30"/>
      <c r="H3" s="34"/>
      <c r="I3" s="32"/>
      <c r="J3" s="30"/>
      <c r="K3" s="27" t="s">
        <v>77</v>
      </c>
      <c r="L3" s="28" t="s">
        <v>358</v>
      </c>
      <c r="M3" s="25" t="str">
        <f t="shared" si="0"/>
        <v/>
      </c>
      <c r="N3" s="32" t="s">
        <v>79</v>
      </c>
      <c r="O3" s="28" t="s">
        <v>359</v>
      </c>
      <c r="P3" s="28" t="s">
        <v>360</v>
      </c>
      <c r="Q3" s="28" t="s">
        <v>361</v>
      </c>
      <c r="R3" s="32" t="s">
        <v>353</v>
      </c>
      <c r="S3" s="33" t="s">
        <v>354</v>
      </c>
      <c r="T3" s="28" t="s">
        <v>362</v>
      </c>
      <c r="U3" s="27" t="s">
        <v>85</v>
      </c>
      <c r="V3" s="27" t="s">
        <v>34</v>
      </c>
      <c r="W3" s="28" t="s">
        <v>363</v>
      </c>
    </row>
    <row r="4" spans="1:23" ht="96" customHeight="1" x14ac:dyDescent="0.35">
      <c r="A4" s="19" t="s">
        <v>347</v>
      </c>
      <c r="B4" s="19" t="s">
        <v>72</v>
      </c>
      <c r="C4" s="20" t="s">
        <v>73</v>
      </c>
      <c r="D4" s="20" t="s">
        <v>364</v>
      </c>
      <c r="E4" s="20" t="s">
        <v>75</v>
      </c>
      <c r="F4" s="21">
        <v>2022</v>
      </c>
      <c r="G4" s="22"/>
      <c r="H4" s="35"/>
      <c r="I4" s="24"/>
      <c r="J4" s="22"/>
      <c r="K4" s="19"/>
      <c r="L4" s="20"/>
      <c r="M4" s="25" t="str">
        <f t="shared" si="0"/>
        <v/>
      </c>
      <c r="N4" s="24" t="s">
        <v>79</v>
      </c>
      <c r="O4" s="20" t="s">
        <v>365</v>
      </c>
      <c r="P4" s="20" t="s">
        <v>366</v>
      </c>
      <c r="Q4" s="20" t="s">
        <v>367</v>
      </c>
      <c r="R4" s="24" t="s">
        <v>353</v>
      </c>
      <c r="S4" s="26" t="s">
        <v>368</v>
      </c>
      <c r="T4" s="20" t="s">
        <v>369</v>
      </c>
      <c r="U4" s="19" t="s">
        <v>85</v>
      </c>
      <c r="V4" s="19" t="s">
        <v>34</v>
      </c>
      <c r="W4" s="20" t="s">
        <v>370</v>
      </c>
    </row>
    <row r="5" spans="1:23" ht="96" customHeight="1" x14ac:dyDescent="0.35">
      <c r="A5" s="27" t="s">
        <v>347</v>
      </c>
      <c r="B5" s="27" t="s">
        <v>72</v>
      </c>
      <c r="C5" s="28" t="s">
        <v>73</v>
      </c>
      <c r="D5" s="28" t="s">
        <v>371</v>
      </c>
      <c r="E5" s="28" t="s">
        <v>75</v>
      </c>
      <c r="F5" s="29">
        <v>2022</v>
      </c>
      <c r="G5" s="30"/>
      <c r="H5" s="34"/>
      <c r="I5" s="32"/>
      <c r="J5" s="30"/>
      <c r="K5" s="27"/>
      <c r="L5" s="28"/>
      <c r="M5" s="25" t="str">
        <f t="shared" si="0"/>
        <v/>
      </c>
      <c r="N5" s="32" t="s">
        <v>79</v>
      </c>
      <c r="O5" s="28" t="s">
        <v>372</v>
      </c>
      <c r="P5" s="28" t="s">
        <v>366</v>
      </c>
      <c r="Q5" s="28" t="s">
        <v>373</v>
      </c>
      <c r="R5" s="32" t="s">
        <v>353</v>
      </c>
      <c r="S5" s="33" t="s">
        <v>368</v>
      </c>
      <c r="T5" s="28" t="s">
        <v>374</v>
      </c>
      <c r="U5" s="27" t="s">
        <v>85</v>
      </c>
      <c r="V5" s="27" t="s">
        <v>34</v>
      </c>
      <c r="W5" s="28" t="s">
        <v>375</v>
      </c>
    </row>
    <row r="6" spans="1:23" ht="96" customHeight="1" x14ac:dyDescent="0.35">
      <c r="A6" s="19" t="s">
        <v>347</v>
      </c>
      <c r="B6" s="19" t="s">
        <v>72</v>
      </c>
      <c r="C6" s="20" t="s">
        <v>73</v>
      </c>
      <c r="D6" s="20" t="s">
        <v>376</v>
      </c>
      <c r="E6" s="20" t="s">
        <v>75</v>
      </c>
      <c r="F6" s="21">
        <v>2023</v>
      </c>
      <c r="G6" s="22"/>
      <c r="H6" s="35"/>
      <c r="I6" s="24"/>
      <c r="J6" s="22"/>
      <c r="K6" s="19"/>
      <c r="L6" s="20"/>
      <c r="M6" s="25" t="str">
        <f t="shared" si="0"/>
        <v/>
      </c>
      <c r="N6" s="24" t="s">
        <v>79</v>
      </c>
      <c r="O6" s="20" t="s">
        <v>377</v>
      </c>
      <c r="P6" s="20" t="s">
        <v>378</v>
      </c>
      <c r="Q6" s="20" t="s">
        <v>379</v>
      </c>
      <c r="R6" s="24" t="s">
        <v>380</v>
      </c>
      <c r="S6" s="26" t="s">
        <v>368</v>
      </c>
      <c r="T6" s="20" t="s">
        <v>381</v>
      </c>
      <c r="U6" s="19" t="s">
        <v>85</v>
      </c>
      <c r="V6" s="19" t="s">
        <v>36</v>
      </c>
      <c r="W6" s="20" t="s">
        <v>382</v>
      </c>
    </row>
    <row r="7" spans="1:23" ht="96" customHeight="1" x14ac:dyDescent="0.35">
      <c r="A7" s="27" t="s">
        <v>347</v>
      </c>
      <c r="B7" s="27" t="s">
        <v>72</v>
      </c>
      <c r="C7" s="28" t="s">
        <v>172</v>
      </c>
      <c r="D7" s="28" t="s">
        <v>383</v>
      </c>
      <c r="E7" s="28" t="s">
        <v>88</v>
      </c>
      <c r="F7" s="29">
        <v>2020</v>
      </c>
      <c r="G7" s="30"/>
      <c r="H7" s="34"/>
      <c r="I7" s="32"/>
      <c r="J7" s="30"/>
      <c r="K7" s="27"/>
      <c r="L7" s="28"/>
      <c r="M7" s="25" t="str">
        <f t="shared" si="0"/>
        <v/>
      </c>
      <c r="N7" s="32" t="s">
        <v>91</v>
      </c>
      <c r="O7" s="28" t="s">
        <v>384</v>
      </c>
      <c r="P7" s="28" t="s">
        <v>366</v>
      </c>
      <c r="Q7" s="28" t="s">
        <v>385</v>
      </c>
      <c r="R7" s="32" t="s">
        <v>353</v>
      </c>
      <c r="S7" s="33" t="s">
        <v>386</v>
      </c>
      <c r="T7" s="28" t="s">
        <v>387</v>
      </c>
      <c r="U7" s="27" t="s">
        <v>85</v>
      </c>
      <c r="V7" s="27" t="s">
        <v>36</v>
      </c>
      <c r="W7" s="28" t="s">
        <v>388</v>
      </c>
    </row>
    <row r="8" spans="1:23" ht="96" customHeight="1" x14ac:dyDescent="0.35">
      <c r="A8" s="19" t="s">
        <v>347</v>
      </c>
      <c r="B8" s="19" t="s">
        <v>72</v>
      </c>
      <c r="C8" s="20" t="s">
        <v>172</v>
      </c>
      <c r="D8" s="20" t="s">
        <v>389</v>
      </c>
      <c r="E8" s="20" t="s">
        <v>323</v>
      </c>
      <c r="F8" s="21">
        <v>2020</v>
      </c>
      <c r="G8" s="22"/>
      <c r="H8" s="35"/>
      <c r="I8" s="24"/>
      <c r="J8" s="22"/>
      <c r="K8" s="19"/>
      <c r="L8" s="20"/>
      <c r="M8" s="25" t="str">
        <f t="shared" si="0"/>
        <v/>
      </c>
      <c r="N8" s="24" t="s">
        <v>91</v>
      </c>
      <c r="O8" s="20" t="s">
        <v>390</v>
      </c>
      <c r="P8" s="20" t="s">
        <v>366</v>
      </c>
      <c r="Q8" s="20" t="s">
        <v>391</v>
      </c>
      <c r="R8" s="24" t="s">
        <v>392</v>
      </c>
      <c r="S8" s="26" t="s">
        <v>393</v>
      </c>
      <c r="T8" s="20" t="s">
        <v>394</v>
      </c>
      <c r="U8" s="19" t="s">
        <v>85</v>
      </c>
      <c r="V8" s="19" t="s">
        <v>36</v>
      </c>
      <c r="W8" s="20" t="s">
        <v>395</v>
      </c>
    </row>
    <row r="9" spans="1:23" ht="96" customHeight="1" x14ac:dyDescent="0.35">
      <c r="A9" s="27" t="s">
        <v>347</v>
      </c>
      <c r="B9" s="27" t="s">
        <v>72</v>
      </c>
      <c r="C9" s="28" t="s">
        <v>296</v>
      </c>
      <c r="D9" s="28" t="s">
        <v>396</v>
      </c>
      <c r="E9" s="28" t="s">
        <v>75</v>
      </c>
      <c r="F9" s="29">
        <v>2020</v>
      </c>
      <c r="G9" s="30"/>
      <c r="H9" s="34"/>
      <c r="I9" s="32"/>
      <c r="J9" s="30">
        <v>750</v>
      </c>
      <c r="K9" s="27" t="s">
        <v>397</v>
      </c>
      <c r="L9" s="28" t="s">
        <v>398</v>
      </c>
      <c r="M9" s="25" t="str">
        <f t="shared" si="0"/>
        <v/>
      </c>
      <c r="N9" s="32" t="s">
        <v>79</v>
      </c>
      <c r="O9" s="28" t="s">
        <v>399</v>
      </c>
      <c r="P9" s="28" t="s">
        <v>400</v>
      </c>
      <c r="Q9" s="28" t="s">
        <v>401</v>
      </c>
      <c r="R9" s="32" t="s">
        <v>353</v>
      </c>
      <c r="S9" s="33" t="s">
        <v>402</v>
      </c>
      <c r="T9" s="28" t="s">
        <v>403</v>
      </c>
      <c r="U9" s="27" t="s">
        <v>85</v>
      </c>
      <c r="V9" s="27" t="s">
        <v>32</v>
      </c>
      <c r="W9" s="28" t="s">
        <v>404</v>
      </c>
    </row>
    <row r="10" spans="1:23" ht="96" customHeight="1" x14ac:dyDescent="0.35">
      <c r="A10" s="19" t="s">
        <v>347</v>
      </c>
      <c r="B10" s="19" t="s">
        <v>72</v>
      </c>
      <c r="C10" s="20" t="s">
        <v>296</v>
      </c>
      <c r="D10" s="20" t="s">
        <v>405</v>
      </c>
      <c r="E10" s="20" t="s">
        <v>75</v>
      </c>
      <c r="F10" s="21">
        <v>2021</v>
      </c>
      <c r="G10" s="22"/>
      <c r="H10" s="35"/>
      <c r="I10" s="24"/>
      <c r="J10" s="22">
        <v>200</v>
      </c>
      <c r="K10" s="19" t="s">
        <v>397</v>
      </c>
      <c r="L10" s="20" t="s">
        <v>406</v>
      </c>
      <c r="M10" s="25" t="str">
        <f t="shared" si="0"/>
        <v/>
      </c>
      <c r="N10" s="24" t="s">
        <v>79</v>
      </c>
      <c r="O10" s="20" t="s">
        <v>407</v>
      </c>
      <c r="P10" s="20" t="s">
        <v>400</v>
      </c>
      <c r="Q10" s="20" t="s">
        <v>408</v>
      </c>
      <c r="R10" s="24" t="s">
        <v>353</v>
      </c>
      <c r="S10" s="26" t="s">
        <v>402</v>
      </c>
      <c r="T10" s="20" t="s">
        <v>409</v>
      </c>
      <c r="U10" s="19" t="s">
        <v>85</v>
      </c>
      <c r="V10" s="19" t="s">
        <v>34</v>
      </c>
      <c r="W10" s="20" t="s">
        <v>410</v>
      </c>
    </row>
    <row r="11" spans="1:23" ht="96" customHeight="1" x14ac:dyDescent="0.35">
      <c r="A11" s="27" t="s">
        <v>347</v>
      </c>
      <c r="B11" s="27" t="s">
        <v>72</v>
      </c>
      <c r="C11" s="28" t="s">
        <v>296</v>
      </c>
      <c r="D11" s="28" t="s">
        <v>411</v>
      </c>
      <c r="E11" s="28" t="s">
        <v>75</v>
      </c>
      <c r="F11" s="29">
        <v>2021</v>
      </c>
      <c r="G11" s="30"/>
      <c r="H11" s="34"/>
      <c r="I11" s="32"/>
      <c r="J11" s="30"/>
      <c r="K11" s="27"/>
      <c r="L11" s="28"/>
      <c r="M11" s="25" t="str">
        <f t="shared" si="0"/>
        <v/>
      </c>
      <c r="N11" s="32" t="s">
        <v>79</v>
      </c>
      <c r="O11" s="28" t="s">
        <v>412</v>
      </c>
      <c r="P11" s="28" t="s">
        <v>366</v>
      </c>
      <c r="Q11" s="28" t="s">
        <v>413</v>
      </c>
      <c r="R11" s="32" t="s">
        <v>353</v>
      </c>
      <c r="S11" s="33" t="s">
        <v>414</v>
      </c>
      <c r="T11" s="28" t="s">
        <v>415</v>
      </c>
      <c r="U11" s="27" t="s">
        <v>85</v>
      </c>
      <c r="V11" s="27" t="s">
        <v>34</v>
      </c>
      <c r="W11" s="28" t="s">
        <v>416</v>
      </c>
    </row>
    <row r="12" spans="1:23" ht="96" customHeight="1" x14ac:dyDescent="0.35">
      <c r="A12" s="19" t="s">
        <v>347</v>
      </c>
      <c r="B12" s="19" t="s">
        <v>72</v>
      </c>
      <c r="C12" s="20" t="s">
        <v>296</v>
      </c>
      <c r="D12" s="20" t="s">
        <v>417</v>
      </c>
      <c r="E12" s="20" t="s">
        <v>418</v>
      </c>
      <c r="F12" s="21">
        <v>2024</v>
      </c>
      <c r="G12" s="22"/>
      <c r="H12" s="35"/>
      <c r="I12" s="24"/>
      <c r="J12" s="22"/>
      <c r="K12" s="19"/>
      <c r="L12" s="20"/>
      <c r="M12" s="25" t="str">
        <f t="shared" si="0"/>
        <v/>
      </c>
      <c r="N12" s="24" t="s">
        <v>91</v>
      </c>
      <c r="O12" s="20" t="s">
        <v>419</v>
      </c>
      <c r="P12" s="20" t="s">
        <v>351</v>
      </c>
      <c r="Q12" s="20" t="s">
        <v>420</v>
      </c>
      <c r="R12" s="24" t="s">
        <v>353</v>
      </c>
      <c r="S12" s="26" t="s">
        <v>421</v>
      </c>
      <c r="T12" s="20" t="s">
        <v>422</v>
      </c>
      <c r="U12" s="19" t="s">
        <v>85</v>
      </c>
      <c r="V12" s="19" t="s">
        <v>34</v>
      </c>
      <c r="W12" s="20" t="s">
        <v>423</v>
      </c>
    </row>
    <row r="13" spans="1:23" ht="96" customHeight="1" x14ac:dyDescent="0.35">
      <c r="A13" s="27" t="s">
        <v>347</v>
      </c>
      <c r="B13" s="27" t="s">
        <v>72</v>
      </c>
      <c r="C13" s="28" t="s">
        <v>241</v>
      </c>
      <c r="D13" s="28" t="s">
        <v>424</v>
      </c>
      <c r="E13" s="28" t="s">
        <v>323</v>
      </c>
      <c r="F13" s="29">
        <v>2024</v>
      </c>
      <c r="G13" s="30"/>
      <c r="H13" s="34"/>
      <c r="I13" s="32"/>
      <c r="J13" s="30">
        <v>490</v>
      </c>
      <c r="K13" s="27" t="s">
        <v>397</v>
      </c>
      <c r="L13" s="28" t="s">
        <v>425</v>
      </c>
      <c r="M13" s="25" t="str">
        <f t="shared" si="0"/>
        <v/>
      </c>
      <c r="N13" s="32" t="s">
        <v>234</v>
      </c>
      <c r="O13" s="28" t="s">
        <v>426</v>
      </c>
      <c r="P13" s="28" t="s">
        <v>400</v>
      </c>
      <c r="Q13" s="28" t="s">
        <v>427</v>
      </c>
      <c r="R13" s="32" t="s">
        <v>392</v>
      </c>
      <c r="S13" s="33" t="s">
        <v>428</v>
      </c>
      <c r="T13" s="28" t="s">
        <v>429</v>
      </c>
      <c r="U13" s="27" t="s">
        <v>85</v>
      </c>
      <c r="V13" s="27" t="s">
        <v>32</v>
      </c>
      <c r="W13" s="28" t="s">
        <v>430</v>
      </c>
    </row>
    <row r="14" spans="1:23" ht="96" customHeight="1" x14ac:dyDescent="0.35">
      <c r="A14" s="19" t="s">
        <v>347</v>
      </c>
      <c r="B14" s="19" t="s">
        <v>72</v>
      </c>
      <c r="C14" s="20" t="s">
        <v>241</v>
      </c>
      <c r="D14" s="20" t="s">
        <v>431</v>
      </c>
      <c r="E14" s="20" t="s">
        <v>323</v>
      </c>
      <c r="F14" s="21">
        <v>2025</v>
      </c>
      <c r="G14" s="22"/>
      <c r="H14" s="35"/>
      <c r="I14" s="24"/>
      <c r="J14" s="22">
        <v>2.2200000000000002</v>
      </c>
      <c r="K14" s="19" t="s">
        <v>397</v>
      </c>
      <c r="L14" s="20" t="s">
        <v>432</v>
      </c>
      <c r="M14" s="25" t="str">
        <f t="shared" si="0"/>
        <v/>
      </c>
      <c r="N14" s="24" t="s">
        <v>91</v>
      </c>
      <c r="O14" s="20" t="s">
        <v>433</v>
      </c>
      <c r="P14" s="20" t="s">
        <v>351</v>
      </c>
      <c r="Q14" s="20" t="s">
        <v>434</v>
      </c>
      <c r="R14" s="24" t="s">
        <v>392</v>
      </c>
      <c r="S14" s="26" t="s">
        <v>435</v>
      </c>
      <c r="T14" s="20" t="s">
        <v>436</v>
      </c>
      <c r="U14" s="19" t="s">
        <v>85</v>
      </c>
      <c r="V14" s="19" t="s">
        <v>34</v>
      </c>
      <c r="W14" s="20" t="s">
        <v>437</v>
      </c>
    </row>
    <row r="15" spans="1:23" ht="96" customHeight="1" x14ac:dyDescent="0.35">
      <c r="A15" s="27" t="s">
        <v>347</v>
      </c>
      <c r="B15" s="27" t="s">
        <v>348</v>
      </c>
      <c r="C15" s="28" t="s">
        <v>241</v>
      </c>
      <c r="D15" s="28" t="s">
        <v>438</v>
      </c>
      <c r="E15" s="28" t="s">
        <v>323</v>
      </c>
      <c r="F15" s="29">
        <v>2018</v>
      </c>
      <c r="G15" s="30"/>
      <c r="H15" s="34"/>
      <c r="I15" s="32"/>
      <c r="J15" s="30"/>
      <c r="K15" s="27"/>
      <c r="L15" s="28"/>
      <c r="M15" s="25" t="str">
        <f t="shared" si="0"/>
        <v/>
      </c>
      <c r="N15" s="32" t="s">
        <v>91</v>
      </c>
      <c r="O15" s="28" t="s">
        <v>439</v>
      </c>
      <c r="P15" s="28" t="s">
        <v>366</v>
      </c>
      <c r="Q15" s="28" t="s">
        <v>440</v>
      </c>
      <c r="R15" s="32" t="s">
        <v>353</v>
      </c>
      <c r="S15" s="33" t="s">
        <v>441</v>
      </c>
      <c r="T15" s="28" t="s">
        <v>442</v>
      </c>
      <c r="U15" s="27" t="s">
        <v>85</v>
      </c>
      <c r="V15" s="27" t="s">
        <v>36</v>
      </c>
      <c r="W15" s="28" t="s">
        <v>443</v>
      </c>
    </row>
    <row r="16" spans="1:23" ht="96" customHeight="1" x14ac:dyDescent="0.35">
      <c r="A16" s="19" t="s">
        <v>347</v>
      </c>
      <c r="B16" s="19" t="s">
        <v>72</v>
      </c>
      <c r="C16" s="20" t="s">
        <v>223</v>
      </c>
      <c r="D16" s="20" t="s">
        <v>444</v>
      </c>
      <c r="E16" s="20" t="s">
        <v>88</v>
      </c>
      <c r="F16" s="21">
        <v>2021</v>
      </c>
      <c r="G16" s="22"/>
      <c r="H16" s="35"/>
      <c r="I16" s="24"/>
      <c r="J16" s="22"/>
      <c r="K16" s="19"/>
      <c r="L16" s="20"/>
      <c r="M16" s="25" t="str">
        <f t="shared" si="0"/>
        <v/>
      </c>
      <c r="N16" s="24" t="s">
        <v>91</v>
      </c>
      <c r="O16" s="20" t="s">
        <v>445</v>
      </c>
      <c r="P16" s="20" t="s">
        <v>366</v>
      </c>
      <c r="Q16" s="20" t="s">
        <v>446</v>
      </c>
      <c r="R16" s="24" t="s">
        <v>353</v>
      </c>
      <c r="S16" s="26" t="s">
        <v>447</v>
      </c>
      <c r="T16" s="20" t="s">
        <v>448</v>
      </c>
      <c r="U16" s="19" t="s">
        <v>85</v>
      </c>
      <c r="V16" s="19" t="s">
        <v>32</v>
      </c>
      <c r="W16" s="20" t="s">
        <v>449</v>
      </c>
    </row>
    <row r="17" spans="1:23" ht="96" customHeight="1" x14ac:dyDescent="0.35">
      <c r="A17" s="27" t="s">
        <v>347</v>
      </c>
      <c r="B17" s="27" t="s">
        <v>72</v>
      </c>
      <c r="C17" s="28" t="s">
        <v>145</v>
      </c>
      <c r="D17" s="28" t="s">
        <v>450</v>
      </c>
      <c r="E17" s="28" t="s">
        <v>127</v>
      </c>
      <c r="F17" s="29">
        <v>2022</v>
      </c>
      <c r="G17" s="30"/>
      <c r="H17" s="34"/>
      <c r="I17" s="32"/>
      <c r="J17" s="30"/>
      <c r="K17" s="27"/>
      <c r="L17" s="28"/>
      <c r="M17" s="25" t="str">
        <f t="shared" si="0"/>
        <v/>
      </c>
      <c r="N17" s="32" t="s">
        <v>91</v>
      </c>
      <c r="O17" s="28" t="s">
        <v>451</v>
      </c>
      <c r="P17" s="28" t="s">
        <v>360</v>
      </c>
      <c r="Q17" s="28" t="s">
        <v>452</v>
      </c>
      <c r="R17" s="32" t="s">
        <v>353</v>
      </c>
      <c r="S17" s="33" t="s">
        <v>453</v>
      </c>
      <c r="T17" s="28" t="s">
        <v>454</v>
      </c>
      <c r="U17" s="27" t="s">
        <v>85</v>
      </c>
      <c r="V17" s="27" t="s">
        <v>34</v>
      </c>
      <c r="W17" s="28" t="s">
        <v>455</v>
      </c>
    </row>
    <row r="18" spans="1:23" ht="96" customHeight="1" x14ac:dyDescent="0.35">
      <c r="A18" s="19" t="s">
        <v>347</v>
      </c>
      <c r="B18" s="19" t="s">
        <v>72</v>
      </c>
      <c r="C18" s="20" t="s">
        <v>145</v>
      </c>
      <c r="D18" s="20" t="s">
        <v>456</v>
      </c>
      <c r="E18" s="20" t="s">
        <v>88</v>
      </c>
      <c r="F18" s="21">
        <v>2022</v>
      </c>
      <c r="G18" s="22"/>
      <c r="H18" s="35"/>
      <c r="I18" s="24"/>
      <c r="J18" s="22"/>
      <c r="K18" s="19"/>
      <c r="L18" s="20"/>
      <c r="M18" s="25" t="str">
        <f t="shared" si="0"/>
        <v/>
      </c>
      <c r="N18" s="24" t="s">
        <v>91</v>
      </c>
      <c r="O18" s="20" t="s">
        <v>457</v>
      </c>
      <c r="P18" s="20" t="s">
        <v>351</v>
      </c>
      <c r="Q18" s="20" t="s">
        <v>458</v>
      </c>
      <c r="R18" s="24" t="s">
        <v>353</v>
      </c>
      <c r="S18" s="26" t="s">
        <v>453</v>
      </c>
      <c r="T18" s="20" t="s">
        <v>454</v>
      </c>
      <c r="U18" s="19" t="s">
        <v>85</v>
      </c>
      <c r="V18" s="19" t="s">
        <v>36</v>
      </c>
      <c r="W18" s="20" t="s">
        <v>459</v>
      </c>
    </row>
    <row r="19" spans="1:23" ht="96" customHeight="1" x14ac:dyDescent="0.35">
      <c r="A19" s="27" t="s">
        <v>347</v>
      </c>
      <c r="B19" s="27" t="s">
        <v>348</v>
      </c>
      <c r="C19" s="28" t="s">
        <v>145</v>
      </c>
      <c r="D19" s="28" t="s">
        <v>460</v>
      </c>
      <c r="E19" s="28" t="s">
        <v>127</v>
      </c>
      <c r="F19" s="29"/>
      <c r="G19" s="30"/>
      <c r="H19" s="34"/>
      <c r="I19" s="32"/>
      <c r="J19" s="30">
        <v>1109</v>
      </c>
      <c r="K19" s="27" t="s">
        <v>208</v>
      </c>
      <c r="L19" s="28" t="s">
        <v>461</v>
      </c>
      <c r="M19" s="25" t="str">
        <f t="shared" si="0"/>
        <v/>
      </c>
      <c r="N19" s="32" t="s">
        <v>91</v>
      </c>
      <c r="O19" s="28" t="s">
        <v>462</v>
      </c>
      <c r="P19" s="28" t="s">
        <v>400</v>
      </c>
      <c r="Q19" s="28" t="s">
        <v>463</v>
      </c>
      <c r="R19" s="32" t="s">
        <v>353</v>
      </c>
      <c r="S19" s="33" t="s">
        <v>464</v>
      </c>
      <c r="T19" s="28" t="s">
        <v>465</v>
      </c>
      <c r="U19" s="27" t="s">
        <v>85</v>
      </c>
      <c r="V19" s="27" t="s">
        <v>34</v>
      </c>
      <c r="W19" s="28" t="s">
        <v>466</v>
      </c>
    </row>
    <row r="20" spans="1:23" ht="96" customHeight="1" x14ac:dyDescent="0.35">
      <c r="A20" s="19" t="s">
        <v>347</v>
      </c>
      <c r="B20" s="19" t="s">
        <v>72</v>
      </c>
      <c r="C20" s="20" t="s">
        <v>258</v>
      </c>
      <c r="D20" s="20" t="s">
        <v>467</v>
      </c>
      <c r="E20" s="20" t="s">
        <v>323</v>
      </c>
      <c r="F20" s="21">
        <v>2020</v>
      </c>
      <c r="G20" s="22"/>
      <c r="H20" s="35"/>
      <c r="I20" s="24"/>
      <c r="J20" s="22">
        <v>150</v>
      </c>
      <c r="K20" s="19" t="s">
        <v>208</v>
      </c>
      <c r="L20" s="20" t="s">
        <v>468</v>
      </c>
      <c r="M20" s="25" t="str">
        <f t="shared" si="0"/>
        <v/>
      </c>
      <c r="N20" s="24" t="s">
        <v>91</v>
      </c>
      <c r="O20" s="20" t="s">
        <v>469</v>
      </c>
      <c r="P20" s="20" t="s">
        <v>400</v>
      </c>
      <c r="Q20" s="20" t="s">
        <v>470</v>
      </c>
      <c r="R20" s="24" t="s">
        <v>392</v>
      </c>
      <c r="S20" s="26" t="s">
        <v>471</v>
      </c>
      <c r="T20" s="20" t="s">
        <v>472</v>
      </c>
      <c r="U20" s="19" t="s">
        <v>85</v>
      </c>
      <c r="V20" s="19" t="s">
        <v>34</v>
      </c>
      <c r="W20" s="20" t="s">
        <v>473</v>
      </c>
    </row>
    <row r="21" spans="1:23" ht="96" customHeight="1" x14ac:dyDescent="0.35">
      <c r="A21" s="27" t="s">
        <v>347</v>
      </c>
      <c r="B21" s="27" t="s">
        <v>348</v>
      </c>
      <c r="C21" s="28" t="s">
        <v>258</v>
      </c>
      <c r="D21" s="28" t="s">
        <v>474</v>
      </c>
      <c r="E21" s="28" t="s">
        <v>418</v>
      </c>
      <c r="F21" s="29">
        <v>2019</v>
      </c>
      <c r="G21" s="30"/>
      <c r="H21" s="34"/>
      <c r="I21" s="32"/>
      <c r="J21" s="30">
        <v>240</v>
      </c>
      <c r="K21" s="27" t="s">
        <v>208</v>
      </c>
      <c r="L21" s="28" t="s">
        <v>475</v>
      </c>
      <c r="M21" s="25" t="str">
        <f t="shared" si="0"/>
        <v/>
      </c>
      <c r="N21" s="32" t="s">
        <v>79</v>
      </c>
      <c r="O21" s="28" t="s">
        <v>476</v>
      </c>
      <c r="P21" s="28" t="s">
        <v>400</v>
      </c>
      <c r="Q21" s="28" t="s">
        <v>477</v>
      </c>
      <c r="R21" s="32" t="s">
        <v>353</v>
      </c>
      <c r="S21" s="33" t="s">
        <v>471</v>
      </c>
      <c r="T21" s="28" t="s">
        <v>472</v>
      </c>
      <c r="U21" s="27" t="s">
        <v>85</v>
      </c>
      <c r="V21" s="27" t="s">
        <v>34</v>
      </c>
      <c r="W21" s="28" t="s">
        <v>478</v>
      </c>
    </row>
    <row r="22" spans="1:23" ht="96" customHeight="1" x14ac:dyDescent="0.35">
      <c r="A22" s="19" t="s">
        <v>347</v>
      </c>
      <c r="B22" s="19" t="s">
        <v>348</v>
      </c>
      <c r="C22" s="20" t="s">
        <v>107</v>
      </c>
      <c r="D22" s="20" t="s">
        <v>479</v>
      </c>
      <c r="E22" s="20" t="s">
        <v>109</v>
      </c>
      <c r="F22" s="21">
        <v>2007</v>
      </c>
      <c r="G22" s="22"/>
      <c r="H22" s="35"/>
      <c r="I22" s="24"/>
      <c r="J22" s="22">
        <v>2700</v>
      </c>
      <c r="K22" s="19" t="s">
        <v>147</v>
      </c>
      <c r="L22" s="20" t="s">
        <v>480</v>
      </c>
      <c r="M22" s="25" t="str">
        <f t="shared" si="0"/>
        <v/>
      </c>
      <c r="N22" s="24" t="s">
        <v>91</v>
      </c>
      <c r="O22" s="20" t="s">
        <v>481</v>
      </c>
      <c r="P22" s="20" t="s">
        <v>400</v>
      </c>
      <c r="Q22" s="20" t="s">
        <v>482</v>
      </c>
      <c r="R22" s="24" t="s">
        <v>353</v>
      </c>
      <c r="S22" s="26" t="s">
        <v>483</v>
      </c>
      <c r="T22" s="20" t="s">
        <v>484</v>
      </c>
      <c r="U22" s="19" t="s">
        <v>85</v>
      </c>
      <c r="V22" s="19" t="s">
        <v>34</v>
      </c>
      <c r="W22" s="20" t="s">
        <v>485</v>
      </c>
    </row>
    <row r="23" spans="1:23" ht="96" customHeight="1" x14ac:dyDescent="0.35">
      <c r="A23" s="27" t="s">
        <v>347</v>
      </c>
      <c r="B23" s="27" t="s">
        <v>348</v>
      </c>
      <c r="C23" s="28" t="s">
        <v>107</v>
      </c>
      <c r="D23" s="28" t="s">
        <v>486</v>
      </c>
      <c r="E23" s="28" t="s">
        <v>109</v>
      </c>
      <c r="F23" s="29">
        <v>2010</v>
      </c>
      <c r="G23" s="30"/>
      <c r="H23" s="34"/>
      <c r="I23" s="32"/>
      <c r="J23" s="30">
        <v>1300</v>
      </c>
      <c r="K23" s="27" t="s">
        <v>147</v>
      </c>
      <c r="L23" s="28" t="s">
        <v>487</v>
      </c>
      <c r="M23" s="25" t="str">
        <f t="shared" si="0"/>
        <v/>
      </c>
      <c r="N23" s="32" t="s">
        <v>91</v>
      </c>
      <c r="O23" s="28" t="s">
        <v>488</v>
      </c>
      <c r="P23" s="28" t="s">
        <v>400</v>
      </c>
      <c r="Q23" s="28" t="s">
        <v>489</v>
      </c>
      <c r="R23" s="32" t="s">
        <v>353</v>
      </c>
      <c r="S23" s="33" t="s">
        <v>483</v>
      </c>
      <c r="T23" s="28" t="s">
        <v>484</v>
      </c>
      <c r="U23" s="27" t="s">
        <v>85</v>
      </c>
      <c r="V23" s="27" t="s">
        <v>34</v>
      </c>
      <c r="W23" s="28" t="s">
        <v>490</v>
      </c>
    </row>
    <row r="24" spans="1:23" ht="96" customHeight="1" x14ac:dyDescent="0.35">
      <c r="A24" s="19" t="s">
        <v>347</v>
      </c>
      <c r="B24" s="19" t="s">
        <v>348</v>
      </c>
      <c r="C24" s="20" t="s">
        <v>107</v>
      </c>
      <c r="D24" s="20" t="s">
        <v>491</v>
      </c>
      <c r="E24" s="20" t="s">
        <v>323</v>
      </c>
      <c r="F24" s="21">
        <v>2016</v>
      </c>
      <c r="G24" s="22"/>
      <c r="H24" s="35"/>
      <c r="I24" s="24"/>
      <c r="J24" s="22"/>
      <c r="K24" s="19"/>
      <c r="L24" s="20"/>
      <c r="M24" s="25" t="str">
        <f t="shared" si="0"/>
        <v/>
      </c>
      <c r="N24" s="24" t="s">
        <v>79</v>
      </c>
      <c r="O24" s="20" t="s">
        <v>492</v>
      </c>
      <c r="P24" s="20" t="s">
        <v>351</v>
      </c>
      <c r="Q24" s="20" t="s">
        <v>493</v>
      </c>
      <c r="R24" s="24" t="s">
        <v>353</v>
      </c>
      <c r="S24" s="26" t="s">
        <v>483</v>
      </c>
      <c r="T24" s="20" t="s">
        <v>484</v>
      </c>
      <c r="U24" s="19" t="s">
        <v>85</v>
      </c>
      <c r="V24" s="19" t="s">
        <v>34</v>
      </c>
      <c r="W24" s="20" t="s">
        <v>494</v>
      </c>
    </row>
    <row r="25" spans="1:23" ht="96" customHeight="1" x14ac:dyDescent="0.35">
      <c r="A25" s="27" t="s">
        <v>347</v>
      </c>
      <c r="B25" s="27" t="s">
        <v>72</v>
      </c>
      <c r="C25" s="28" t="s">
        <v>313</v>
      </c>
      <c r="D25" s="28" t="s">
        <v>495</v>
      </c>
      <c r="E25" s="28" t="s">
        <v>232</v>
      </c>
      <c r="F25" s="29">
        <v>2020</v>
      </c>
      <c r="G25" s="30"/>
      <c r="H25" s="34"/>
      <c r="I25" s="32"/>
      <c r="J25" s="30"/>
      <c r="K25" s="27"/>
      <c r="L25" s="28"/>
      <c r="M25" s="25" t="str">
        <f t="shared" si="0"/>
        <v/>
      </c>
      <c r="N25" s="32" t="s">
        <v>79</v>
      </c>
      <c r="O25" s="28" t="s">
        <v>496</v>
      </c>
      <c r="P25" s="28" t="s">
        <v>366</v>
      </c>
      <c r="Q25" s="28" t="s">
        <v>497</v>
      </c>
      <c r="R25" s="32" t="s">
        <v>353</v>
      </c>
      <c r="S25" s="33" t="s">
        <v>498</v>
      </c>
      <c r="T25" s="28" t="s">
        <v>499</v>
      </c>
      <c r="U25" s="27" t="s">
        <v>85</v>
      </c>
      <c r="V25" s="27" t="s">
        <v>36</v>
      </c>
      <c r="W25" s="28" t="s">
        <v>500</v>
      </c>
    </row>
    <row r="26" spans="1:23" ht="96" customHeight="1" x14ac:dyDescent="0.35">
      <c r="A26" s="19" t="s">
        <v>347</v>
      </c>
      <c r="B26" s="19" t="s">
        <v>72</v>
      </c>
      <c r="C26" s="20" t="s">
        <v>313</v>
      </c>
      <c r="D26" s="20" t="s">
        <v>501</v>
      </c>
      <c r="E26" s="20" t="s">
        <v>232</v>
      </c>
      <c r="F26" s="21">
        <v>2021</v>
      </c>
      <c r="G26" s="22"/>
      <c r="H26" s="35"/>
      <c r="I26" s="24"/>
      <c r="J26" s="22"/>
      <c r="K26" s="19"/>
      <c r="L26" s="20"/>
      <c r="M26" s="25" t="str">
        <f t="shared" si="0"/>
        <v/>
      </c>
      <c r="N26" s="24" t="s">
        <v>79</v>
      </c>
      <c r="O26" s="20" t="s">
        <v>502</v>
      </c>
      <c r="P26" s="20" t="s">
        <v>351</v>
      </c>
      <c r="Q26" s="20" t="s">
        <v>503</v>
      </c>
      <c r="R26" s="24" t="s">
        <v>353</v>
      </c>
      <c r="S26" s="26" t="s">
        <v>504</v>
      </c>
      <c r="T26" s="20" t="s">
        <v>505</v>
      </c>
      <c r="U26" s="19" t="s">
        <v>85</v>
      </c>
      <c r="V26" s="19" t="s">
        <v>36</v>
      </c>
      <c r="W26" s="20" t="s">
        <v>506</v>
      </c>
    </row>
    <row r="27" spans="1:23" ht="96" customHeight="1" x14ac:dyDescent="0.35">
      <c r="A27" s="27" t="s">
        <v>347</v>
      </c>
      <c r="B27" s="27" t="s">
        <v>72</v>
      </c>
      <c r="C27" s="28" t="s">
        <v>313</v>
      </c>
      <c r="D27" s="28" t="s">
        <v>507</v>
      </c>
      <c r="E27" s="28" t="s">
        <v>232</v>
      </c>
      <c r="F27" s="29">
        <v>2021</v>
      </c>
      <c r="G27" s="30"/>
      <c r="H27" s="34"/>
      <c r="I27" s="32"/>
      <c r="J27" s="30"/>
      <c r="K27" s="27"/>
      <c r="L27" s="28"/>
      <c r="M27" s="25" t="str">
        <f t="shared" si="0"/>
        <v/>
      </c>
      <c r="N27" s="32" t="s">
        <v>91</v>
      </c>
      <c r="O27" s="28" t="s">
        <v>508</v>
      </c>
      <c r="P27" s="28" t="s">
        <v>360</v>
      </c>
      <c r="Q27" s="28" t="s">
        <v>509</v>
      </c>
      <c r="R27" s="32" t="s">
        <v>353</v>
      </c>
      <c r="S27" s="33" t="s">
        <v>504</v>
      </c>
      <c r="T27" s="28" t="s">
        <v>510</v>
      </c>
      <c r="U27" s="27" t="s">
        <v>85</v>
      </c>
      <c r="V27" s="27" t="s">
        <v>34</v>
      </c>
      <c r="W27" s="28" t="s">
        <v>511</v>
      </c>
    </row>
    <row r="28" spans="1:23" ht="96" customHeight="1" x14ac:dyDescent="0.35">
      <c r="A28" s="19" t="s">
        <v>347</v>
      </c>
      <c r="B28" s="19" t="s">
        <v>72</v>
      </c>
      <c r="C28" s="20" t="s">
        <v>304</v>
      </c>
      <c r="D28" s="20" t="s">
        <v>512</v>
      </c>
      <c r="E28" s="20" t="s">
        <v>127</v>
      </c>
      <c r="F28" s="21">
        <v>2023</v>
      </c>
      <c r="G28" s="22"/>
      <c r="H28" s="35"/>
      <c r="I28" s="24"/>
      <c r="J28" s="22"/>
      <c r="K28" s="19"/>
      <c r="L28" s="20"/>
      <c r="M28" s="25" t="str">
        <f t="shared" si="0"/>
        <v/>
      </c>
      <c r="N28" s="24" t="s">
        <v>234</v>
      </c>
      <c r="O28" s="20" t="s">
        <v>513</v>
      </c>
      <c r="P28" s="20" t="s">
        <v>378</v>
      </c>
      <c r="Q28" s="20" t="s">
        <v>514</v>
      </c>
      <c r="R28" s="24" t="s">
        <v>380</v>
      </c>
      <c r="S28" s="26" t="s">
        <v>515</v>
      </c>
      <c r="T28" s="20" t="s">
        <v>516</v>
      </c>
      <c r="U28" s="19" t="s">
        <v>85</v>
      </c>
      <c r="V28" s="19" t="s">
        <v>36</v>
      </c>
      <c r="W28" s="20" t="s">
        <v>517</v>
      </c>
    </row>
    <row r="29" spans="1:23" ht="96" customHeight="1" x14ac:dyDescent="0.35">
      <c r="A29" s="27" t="s">
        <v>347</v>
      </c>
      <c r="B29" s="27" t="s">
        <v>72</v>
      </c>
      <c r="C29" s="28" t="s">
        <v>321</v>
      </c>
      <c r="D29" s="28" t="s">
        <v>518</v>
      </c>
      <c r="E29" s="28" t="s">
        <v>127</v>
      </c>
      <c r="F29" s="29">
        <v>2022</v>
      </c>
      <c r="G29" s="30"/>
      <c r="H29" s="34"/>
      <c r="I29" s="32"/>
      <c r="J29" s="30">
        <v>2600</v>
      </c>
      <c r="K29" s="27" t="s">
        <v>397</v>
      </c>
      <c r="L29" s="28" t="s">
        <v>519</v>
      </c>
      <c r="M29" s="25" t="str">
        <f t="shared" si="0"/>
        <v/>
      </c>
      <c r="N29" s="32" t="s">
        <v>91</v>
      </c>
      <c r="O29" s="28" t="s">
        <v>520</v>
      </c>
      <c r="P29" s="28" t="s">
        <v>400</v>
      </c>
      <c r="Q29" s="28" t="s">
        <v>521</v>
      </c>
      <c r="R29" s="32" t="s">
        <v>522</v>
      </c>
      <c r="S29" s="33" t="s">
        <v>523</v>
      </c>
      <c r="T29" s="28" t="s">
        <v>524</v>
      </c>
      <c r="U29" s="27" t="s">
        <v>85</v>
      </c>
      <c r="V29" s="27" t="s">
        <v>34</v>
      </c>
      <c r="W29" s="28" t="s">
        <v>525</v>
      </c>
    </row>
    <row r="30" spans="1:23" ht="96" customHeight="1" x14ac:dyDescent="0.35">
      <c r="A30" s="19" t="s">
        <v>347</v>
      </c>
      <c r="B30" s="19" t="s">
        <v>72</v>
      </c>
      <c r="C30" s="20" t="s">
        <v>321</v>
      </c>
      <c r="D30" s="20" t="s">
        <v>526</v>
      </c>
      <c r="E30" s="20" t="s">
        <v>332</v>
      </c>
      <c r="F30" s="21">
        <v>2023</v>
      </c>
      <c r="G30" s="22"/>
      <c r="H30" s="35"/>
      <c r="I30" s="24"/>
      <c r="J30" s="22">
        <v>4700</v>
      </c>
      <c r="K30" s="19" t="s">
        <v>397</v>
      </c>
      <c r="L30" s="20" t="s">
        <v>527</v>
      </c>
      <c r="M30" s="25" t="str">
        <f t="shared" si="0"/>
        <v/>
      </c>
      <c r="N30" s="24" t="s">
        <v>91</v>
      </c>
      <c r="O30" s="20" t="s">
        <v>528</v>
      </c>
      <c r="P30" s="20" t="s">
        <v>400</v>
      </c>
      <c r="Q30" s="20" t="s">
        <v>529</v>
      </c>
      <c r="R30" s="24" t="s">
        <v>530</v>
      </c>
      <c r="S30" s="26" t="s">
        <v>531</v>
      </c>
      <c r="T30" s="20" t="s">
        <v>532</v>
      </c>
      <c r="U30" s="19" t="s">
        <v>85</v>
      </c>
      <c r="V30" s="19" t="s">
        <v>34</v>
      </c>
      <c r="W30" s="20" t="s">
        <v>533</v>
      </c>
    </row>
  </sheetData>
  <autoFilter ref="A1:W30" xr:uid="{00000000-0009-0000-0000-000002000000}"/>
  <conditionalFormatting sqref="V2:V30">
    <cfRule type="expression" dxfId="10" priority="2">
      <formula>V2="High"</formula>
    </cfRule>
    <cfRule type="expression" dxfId="9" priority="3">
      <formula>V2="Medium"</formula>
    </cfRule>
    <cfRule type="expression" dxfId="8" priority="4">
      <formula>OR(V2="Low",ISNUMBER(SEARCH("UNCONFIRMED",V2)))</formula>
    </cfRule>
  </conditionalFormatting>
  <hyperlinks>
    <hyperlink ref="S2" r:id="rId1" xr:uid="{00000000-0004-0000-0200-000000000000}"/>
    <hyperlink ref="S3" r:id="rId2" xr:uid="{00000000-0004-0000-0200-000001000000}"/>
    <hyperlink ref="S4" r:id="rId3" xr:uid="{00000000-0004-0000-0200-000002000000}"/>
    <hyperlink ref="S5" r:id="rId4" xr:uid="{00000000-0004-0000-0200-000003000000}"/>
    <hyperlink ref="S6" r:id="rId5" xr:uid="{00000000-0004-0000-0200-000004000000}"/>
    <hyperlink ref="S7" r:id="rId6" xr:uid="{00000000-0004-0000-0200-000005000000}"/>
    <hyperlink ref="S8" r:id="rId7" xr:uid="{00000000-0004-0000-0200-000006000000}"/>
    <hyperlink ref="S9" r:id="rId8" xr:uid="{00000000-0004-0000-0200-000007000000}"/>
    <hyperlink ref="S10" r:id="rId9" xr:uid="{00000000-0004-0000-0200-000008000000}"/>
    <hyperlink ref="S11" r:id="rId10" xr:uid="{00000000-0004-0000-0200-000009000000}"/>
    <hyperlink ref="S12" r:id="rId11" xr:uid="{00000000-0004-0000-0200-00000A000000}"/>
    <hyperlink ref="S13" r:id="rId12" xr:uid="{00000000-0004-0000-0200-00000B000000}"/>
    <hyperlink ref="S14" r:id="rId13" xr:uid="{00000000-0004-0000-0200-00000C000000}"/>
    <hyperlink ref="S15" r:id="rId14" xr:uid="{00000000-0004-0000-0200-00000D000000}"/>
    <hyperlink ref="S16" r:id="rId15" xr:uid="{00000000-0004-0000-0200-00000E000000}"/>
    <hyperlink ref="S17" r:id="rId16" xr:uid="{00000000-0004-0000-0200-00000F000000}"/>
    <hyperlink ref="S18" r:id="rId17" xr:uid="{00000000-0004-0000-0200-000010000000}"/>
    <hyperlink ref="S19" r:id="rId18" xr:uid="{00000000-0004-0000-0200-000011000000}"/>
    <hyperlink ref="S20" r:id="rId19" xr:uid="{00000000-0004-0000-0200-000012000000}"/>
    <hyperlink ref="S21" r:id="rId20" xr:uid="{00000000-0004-0000-0200-000013000000}"/>
    <hyperlink ref="S22" r:id="rId21" xr:uid="{00000000-0004-0000-0200-000014000000}"/>
    <hyperlink ref="S23" r:id="rId22" xr:uid="{00000000-0004-0000-0200-000015000000}"/>
    <hyperlink ref="S24" r:id="rId23" xr:uid="{00000000-0004-0000-0200-000016000000}"/>
    <hyperlink ref="S25" r:id="rId24" xr:uid="{00000000-0004-0000-0200-000017000000}"/>
    <hyperlink ref="S26" r:id="rId25" xr:uid="{00000000-0004-0000-0200-000018000000}"/>
    <hyperlink ref="S27" r:id="rId26" xr:uid="{00000000-0004-0000-0200-000019000000}"/>
    <hyperlink ref="S28" r:id="rId27" xr:uid="{00000000-0004-0000-0200-00001A000000}"/>
    <hyperlink ref="S29" r:id="rId28" xr:uid="{00000000-0004-0000-0200-00001B000000}"/>
    <hyperlink ref="S30" r:id="rId29" xr:uid="{00000000-0004-0000-0200-00001C000000}"/>
  </hyperlink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8102E"/>
    <pageSetUpPr fitToPage="1"/>
  </sheetPr>
  <dimension ref="A1:D31"/>
  <sheetViews>
    <sheetView zoomScaleNormal="100" workbookViewId="0">
      <pane ySplit="1" topLeftCell="A2" activePane="bottomLeft" state="frozen"/>
      <selection pane="bottomLeft"/>
    </sheetView>
  </sheetViews>
  <sheetFormatPr defaultColWidth="8.6328125" defaultRowHeight="14.5" x14ac:dyDescent="0.35"/>
  <cols>
    <col min="1" max="1" width="18" customWidth="1"/>
    <col min="2" max="2" width="24" customWidth="1"/>
    <col min="3" max="3" width="10" customWidth="1"/>
    <col min="4" max="4" width="70" customWidth="1"/>
  </cols>
  <sheetData>
    <row r="1" spans="1:4" ht="34" customHeight="1" x14ac:dyDescent="0.35">
      <c r="A1" s="18" t="s">
        <v>534</v>
      </c>
      <c r="B1" s="18" t="s">
        <v>535</v>
      </c>
      <c r="C1" s="18" t="s">
        <v>536</v>
      </c>
      <c r="D1" s="18" t="s">
        <v>537</v>
      </c>
    </row>
    <row r="2" spans="1:4" ht="15" customHeight="1" x14ac:dyDescent="0.35">
      <c r="A2" s="24" t="s">
        <v>62</v>
      </c>
      <c r="B2" s="24" t="s">
        <v>91</v>
      </c>
      <c r="C2" s="19">
        <v>1</v>
      </c>
      <c r="D2" s="20" t="s">
        <v>538</v>
      </c>
    </row>
    <row r="3" spans="1:4" ht="23.9" customHeight="1" x14ac:dyDescent="0.35">
      <c r="A3" s="32" t="s">
        <v>62</v>
      </c>
      <c r="B3" s="32" t="s">
        <v>539</v>
      </c>
      <c r="C3" s="27">
        <v>2</v>
      </c>
      <c r="D3" s="28" t="s">
        <v>540</v>
      </c>
    </row>
    <row r="4" spans="1:4" ht="23.9" customHeight="1" x14ac:dyDescent="0.35">
      <c r="A4" s="24" t="s">
        <v>62</v>
      </c>
      <c r="B4" s="24" t="s">
        <v>79</v>
      </c>
      <c r="C4" s="19">
        <v>3</v>
      </c>
      <c r="D4" s="20" t="s">
        <v>541</v>
      </c>
    </row>
    <row r="5" spans="1:4" ht="23.9" customHeight="1" x14ac:dyDescent="0.35">
      <c r="A5" s="32" t="s">
        <v>62</v>
      </c>
      <c r="B5" s="32" t="s">
        <v>542</v>
      </c>
      <c r="C5" s="27">
        <v>4</v>
      </c>
      <c r="D5" s="28" t="s">
        <v>543</v>
      </c>
    </row>
    <row r="6" spans="1:4" ht="23.9" customHeight="1" x14ac:dyDescent="0.35">
      <c r="A6" s="24" t="s">
        <v>62</v>
      </c>
      <c r="B6" s="24" t="s">
        <v>138</v>
      </c>
      <c r="C6" s="19">
        <v>5</v>
      </c>
      <c r="D6" s="20" t="s">
        <v>544</v>
      </c>
    </row>
    <row r="7" spans="1:4" ht="15" customHeight="1" x14ac:dyDescent="0.35">
      <c r="A7" s="32" t="s">
        <v>62</v>
      </c>
      <c r="B7" s="32" t="s">
        <v>234</v>
      </c>
      <c r="C7" s="27">
        <v>6</v>
      </c>
      <c r="D7" s="28" t="s">
        <v>545</v>
      </c>
    </row>
    <row r="8" spans="1:4" ht="15" customHeight="1" x14ac:dyDescent="0.35">
      <c r="A8" s="24" t="s">
        <v>57</v>
      </c>
      <c r="B8" s="24" t="s">
        <v>128</v>
      </c>
      <c r="C8" s="19"/>
      <c r="D8" s="20" t="s">
        <v>546</v>
      </c>
    </row>
    <row r="9" spans="1:4" ht="23.9" customHeight="1" x14ac:dyDescent="0.35">
      <c r="A9" s="32" t="s">
        <v>57</v>
      </c>
      <c r="B9" s="32" t="s">
        <v>76</v>
      </c>
      <c r="C9" s="27"/>
      <c r="D9" s="28" t="s">
        <v>547</v>
      </c>
    </row>
    <row r="10" spans="1:4" ht="23.9" customHeight="1" x14ac:dyDescent="0.35">
      <c r="A10" s="24" t="s">
        <v>57</v>
      </c>
      <c r="B10" s="24" t="s">
        <v>110</v>
      </c>
      <c r="C10" s="19"/>
      <c r="D10" s="20" t="s">
        <v>548</v>
      </c>
    </row>
    <row r="11" spans="1:4" ht="15" customHeight="1" x14ac:dyDescent="0.35">
      <c r="A11" s="32" t="s">
        <v>57</v>
      </c>
      <c r="B11" s="32" t="s">
        <v>549</v>
      </c>
      <c r="C11" s="27"/>
      <c r="D11" s="28" t="s">
        <v>550</v>
      </c>
    </row>
    <row r="12" spans="1:4" ht="23.9" customHeight="1" x14ac:dyDescent="0.35">
      <c r="A12" s="24" t="s">
        <v>57</v>
      </c>
      <c r="B12" s="24" t="s">
        <v>99</v>
      </c>
      <c r="C12" s="19"/>
      <c r="D12" s="20" t="s">
        <v>551</v>
      </c>
    </row>
    <row r="13" spans="1:4" ht="15" customHeight="1" x14ac:dyDescent="0.35">
      <c r="A13" s="32" t="s">
        <v>50</v>
      </c>
      <c r="B13" s="32" t="s">
        <v>72</v>
      </c>
      <c r="C13" s="27"/>
      <c r="D13" s="28" t="s">
        <v>552</v>
      </c>
    </row>
    <row r="14" spans="1:4" ht="23.9" customHeight="1" x14ac:dyDescent="0.35">
      <c r="A14" s="24" t="s">
        <v>50</v>
      </c>
      <c r="B14" s="24" t="s">
        <v>348</v>
      </c>
      <c r="C14" s="19"/>
      <c r="D14" s="20" t="s">
        <v>553</v>
      </c>
    </row>
    <row r="15" spans="1:4" ht="15" customHeight="1" x14ac:dyDescent="0.35">
      <c r="A15" s="32" t="s">
        <v>53</v>
      </c>
      <c r="B15" s="32" t="s">
        <v>75</v>
      </c>
      <c r="C15" s="27"/>
      <c r="D15" s="28" t="s">
        <v>554</v>
      </c>
    </row>
    <row r="16" spans="1:4" ht="15" customHeight="1" x14ac:dyDescent="0.35">
      <c r="A16" s="24" t="s">
        <v>53</v>
      </c>
      <c r="B16" s="24" t="s">
        <v>232</v>
      </c>
      <c r="C16" s="19"/>
      <c r="D16" s="20" t="s">
        <v>555</v>
      </c>
    </row>
    <row r="17" spans="1:4" ht="15" customHeight="1" x14ac:dyDescent="0.35">
      <c r="A17" s="32" t="s">
        <v>53</v>
      </c>
      <c r="B17" s="32" t="s">
        <v>174</v>
      </c>
      <c r="C17" s="27"/>
      <c r="D17" s="28" t="s">
        <v>556</v>
      </c>
    </row>
    <row r="18" spans="1:4" ht="15" customHeight="1" x14ac:dyDescent="0.35">
      <c r="A18" s="24" t="s">
        <v>53</v>
      </c>
      <c r="B18" s="24" t="s">
        <v>119</v>
      </c>
      <c r="C18" s="19"/>
      <c r="D18" s="20" t="s">
        <v>557</v>
      </c>
    </row>
    <row r="19" spans="1:4" ht="15" customHeight="1" x14ac:dyDescent="0.35">
      <c r="A19" s="32" t="s">
        <v>53</v>
      </c>
      <c r="B19" s="32" t="s">
        <v>418</v>
      </c>
      <c r="C19" s="27"/>
      <c r="D19" s="28" t="s">
        <v>558</v>
      </c>
    </row>
    <row r="20" spans="1:4" ht="15" customHeight="1" x14ac:dyDescent="0.35">
      <c r="A20" s="24" t="s">
        <v>53</v>
      </c>
      <c r="B20" s="24" t="s">
        <v>109</v>
      </c>
      <c r="C20" s="19"/>
      <c r="D20" s="20" t="s">
        <v>559</v>
      </c>
    </row>
    <row r="21" spans="1:4" ht="15" customHeight="1" x14ac:dyDescent="0.35">
      <c r="A21" s="32" t="s">
        <v>53</v>
      </c>
      <c r="B21" s="32" t="s">
        <v>127</v>
      </c>
      <c r="C21" s="27"/>
      <c r="D21" s="28" t="s">
        <v>560</v>
      </c>
    </row>
    <row r="22" spans="1:4" ht="15" customHeight="1" x14ac:dyDescent="0.35">
      <c r="A22" s="24" t="s">
        <v>53</v>
      </c>
      <c r="B22" s="24" t="s">
        <v>155</v>
      </c>
      <c r="C22" s="19"/>
      <c r="D22" s="20" t="s">
        <v>561</v>
      </c>
    </row>
    <row r="23" spans="1:4" ht="15" customHeight="1" x14ac:dyDescent="0.35">
      <c r="A23" s="32" t="s">
        <v>53</v>
      </c>
      <c r="B23" s="32" t="s">
        <v>136</v>
      </c>
      <c r="C23" s="27"/>
      <c r="D23" s="28" t="s">
        <v>562</v>
      </c>
    </row>
    <row r="24" spans="1:4" ht="15" customHeight="1" x14ac:dyDescent="0.35">
      <c r="A24" s="24" t="s">
        <v>53</v>
      </c>
      <c r="B24" s="24" t="s">
        <v>88</v>
      </c>
      <c r="C24" s="19"/>
      <c r="D24" s="20" t="s">
        <v>563</v>
      </c>
    </row>
    <row r="25" spans="1:4" ht="15" customHeight="1" x14ac:dyDescent="0.35">
      <c r="A25" s="32" t="s">
        <v>53</v>
      </c>
      <c r="B25" s="32" t="s">
        <v>332</v>
      </c>
      <c r="C25" s="27"/>
      <c r="D25" s="28" t="s">
        <v>564</v>
      </c>
    </row>
    <row r="26" spans="1:4" ht="15" customHeight="1" x14ac:dyDescent="0.35">
      <c r="A26" s="24" t="s">
        <v>53</v>
      </c>
      <c r="B26" s="24" t="s">
        <v>323</v>
      </c>
      <c r="C26" s="19"/>
      <c r="D26" s="20" t="s">
        <v>565</v>
      </c>
    </row>
    <row r="27" spans="1:4" ht="15" customHeight="1" x14ac:dyDescent="0.35">
      <c r="A27" s="32" t="s">
        <v>346</v>
      </c>
      <c r="B27" s="32" t="s">
        <v>353</v>
      </c>
      <c r="C27" s="27"/>
      <c r="D27" s="28" t="s">
        <v>566</v>
      </c>
    </row>
    <row r="28" spans="1:4" ht="15" customHeight="1" x14ac:dyDescent="0.35">
      <c r="A28" s="24" t="s">
        <v>346</v>
      </c>
      <c r="B28" s="24" t="s">
        <v>392</v>
      </c>
      <c r="C28" s="19"/>
      <c r="D28" s="20" t="s">
        <v>567</v>
      </c>
    </row>
    <row r="29" spans="1:4" ht="23.9" customHeight="1" x14ac:dyDescent="0.35">
      <c r="A29" s="32" t="s">
        <v>346</v>
      </c>
      <c r="B29" s="32" t="s">
        <v>522</v>
      </c>
      <c r="C29" s="27"/>
      <c r="D29" s="28" t="s">
        <v>568</v>
      </c>
    </row>
    <row r="30" spans="1:4" ht="15" customHeight="1" x14ac:dyDescent="0.35">
      <c r="A30" s="24" t="s">
        <v>346</v>
      </c>
      <c r="B30" s="24" t="s">
        <v>530</v>
      </c>
      <c r="C30" s="19"/>
      <c r="D30" s="20" t="s">
        <v>569</v>
      </c>
    </row>
    <row r="31" spans="1:4" ht="15" customHeight="1" x14ac:dyDescent="0.35">
      <c r="A31" s="32" t="s">
        <v>346</v>
      </c>
      <c r="B31" s="32" t="s">
        <v>380</v>
      </c>
      <c r="C31" s="27"/>
      <c r="D31" s="28" t="s">
        <v>570</v>
      </c>
    </row>
  </sheetData>
  <autoFilter ref="A1:D31" xr:uid="{00000000-0009-0000-0000-000003000000}"/>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04E23"/>
    <pageSetUpPr fitToPage="1"/>
  </sheetPr>
  <dimension ref="A1:M35"/>
  <sheetViews>
    <sheetView zoomScaleNormal="100" workbookViewId="0">
      <pane ySplit="1" topLeftCell="A2" activePane="bottomLeft" state="frozen"/>
      <selection pane="bottomLeft"/>
    </sheetView>
  </sheetViews>
  <sheetFormatPr defaultColWidth="8.6328125" defaultRowHeight="14.5" x14ac:dyDescent="0.35"/>
  <cols>
    <col min="1" max="1" width="9" customWidth="1"/>
    <col min="2" max="2" width="26" customWidth="1"/>
    <col min="3" max="5" width="11" customWidth="1"/>
    <col min="6" max="6" width="34" customWidth="1"/>
    <col min="7" max="7" width="11" customWidth="1"/>
    <col min="8" max="10" width="12" customWidth="1"/>
    <col min="11" max="11" width="16" customWidth="1"/>
    <col min="12" max="12" width="60" customWidth="1"/>
    <col min="13" max="13" width="12" customWidth="1"/>
  </cols>
  <sheetData>
    <row r="1" spans="1:13" ht="34" customHeight="1" x14ac:dyDescent="0.35">
      <c r="A1" s="18" t="s">
        <v>571</v>
      </c>
      <c r="B1" s="18" t="s">
        <v>572</v>
      </c>
      <c r="C1" s="18" t="s">
        <v>573</v>
      </c>
      <c r="D1" s="18" t="s">
        <v>574</v>
      </c>
      <c r="E1" s="18" t="s">
        <v>575</v>
      </c>
      <c r="F1" s="18" t="s">
        <v>576</v>
      </c>
      <c r="G1" s="18" t="s">
        <v>577</v>
      </c>
      <c r="H1" s="18" t="s">
        <v>578</v>
      </c>
      <c r="I1" s="18" t="s">
        <v>579</v>
      </c>
      <c r="J1" s="18" t="s">
        <v>580</v>
      </c>
      <c r="K1" s="18" t="s">
        <v>67</v>
      </c>
      <c r="L1" s="18" t="s">
        <v>581</v>
      </c>
      <c r="M1" s="18" t="s">
        <v>69</v>
      </c>
    </row>
    <row r="2" spans="1:13" ht="60" customHeight="1" x14ac:dyDescent="0.35">
      <c r="A2" s="19" t="s">
        <v>582</v>
      </c>
      <c r="B2" s="24" t="s">
        <v>583</v>
      </c>
      <c r="C2" s="36">
        <v>4</v>
      </c>
      <c r="D2" s="36">
        <v>6</v>
      </c>
      <c r="E2" s="36">
        <v>8</v>
      </c>
      <c r="F2" s="20" t="s">
        <v>584</v>
      </c>
      <c r="G2" s="35" t="s">
        <v>585</v>
      </c>
      <c r="H2" s="37">
        <f t="shared" ref="H2:H26" si="0">IF($G2="low",$C2,IF($G2="high",$E2,$D2))</f>
        <v>4</v>
      </c>
      <c r="I2" s="37">
        <f t="shared" ref="I2:I26" si="1">$D2</f>
        <v>6</v>
      </c>
      <c r="J2" s="37">
        <f t="shared" ref="J2:J26" si="2">IF($G2="low",$E2,IF($G2="high",$C2,$D2))</f>
        <v>8</v>
      </c>
      <c r="K2" s="20" t="s">
        <v>586</v>
      </c>
      <c r="L2" s="20" t="s">
        <v>587</v>
      </c>
      <c r="M2" s="19" t="s">
        <v>34</v>
      </c>
    </row>
    <row r="3" spans="1:13" ht="60" customHeight="1" x14ac:dyDescent="0.35">
      <c r="A3" s="27" t="s">
        <v>588</v>
      </c>
      <c r="B3" s="32" t="s">
        <v>589</v>
      </c>
      <c r="C3" s="30">
        <v>15</v>
      </c>
      <c r="D3" s="30">
        <v>25</v>
      </c>
      <c r="E3" s="30">
        <v>35</v>
      </c>
      <c r="F3" s="28" t="s">
        <v>590</v>
      </c>
      <c r="G3" s="34" t="s">
        <v>591</v>
      </c>
      <c r="H3" s="38">
        <f t="shared" si="0"/>
        <v>35</v>
      </c>
      <c r="I3" s="38">
        <f t="shared" si="1"/>
        <v>25</v>
      </c>
      <c r="J3" s="38">
        <f t="shared" si="2"/>
        <v>15</v>
      </c>
      <c r="K3" s="28" t="s">
        <v>592</v>
      </c>
      <c r="L3" s="28" t="s">
        <v>593</v>
      </c>
      <c r="M3" s="27" t="s">
        <v>36</v>
      </c>
    </row>
    <row r="4" spans="1:13" ht="60" customHeight="1" x14ac:dyDescent="0.35">
      <c r="A4" s="19" t="s">
        <v>594</v>
      </c>
      <c r="B4" s="24" t="s">
        <v>595</v>
      </c>
      <c r="C4" s="39">
        <v>0.55000000000000004</v>
      </c>
      <c r="D4" s="39">
        <v>0.6</v>
      </c>
      <c r="E4" s="39">
        <v>0.65</v>
      </c>
      <c r="F4" s="20" t="s">
        <v>596</v>
      </c>
      <c r="G4" s="35" t="s">
        <v>591</v>
      </c>
      <c r="H4" s="40">
        <f t="shared" si="0"/>
        <v>0.65</v>
      </c>
      <c r="I4" s="40">
        <f t="shared" si="1"/>
        <v>0.6</v>
      </c>
      <c r="J4" s="40">
        <f t="shared" si="2"/>
        <v>0.55000000000000004</v>
      </c>
      <c r="K4" s="20" t="s">
        <v>597</v>
      </c>
      <c r="L4" s="20" t="s">
        <v>598</v>
      </c>
      <c r="M4" s="19" t="s">
        <v>36</v>
      </c>
    </row>
    <row r="5" spans="1:13" ht="60" customHeight="1" x14ac:dyDescent="0.35">
      <c r="A5" s="27" t="s">
        <v>599</v>
      </c>
      <c r="B5" s="32" t="s">
        <v>600</v>
      </c>
      <c r="C5" s="41">
        <v>0.62</v>
      </c>
      <c r="D5" s="41">
        <v>0.7</v>
      </c>
      <c r="E5" s="41">
        <v>0.73</v>
      </c>
      <c r="F5" s="28" t="s">
        <v>601</v>
      </c>
      <c r="G5" s="34" t="s">
        <v>591</v>
      </c>
      <c r="H5" s="40">
        <f t="shared" si="0"/>
        <v>0.73</v>
      </c>
      <c r="I5" s="40">
        <f t="shared" si="1"/>
        <v>0.7</v>
      </c>
      <c r="J5" s="40">
        <f t="shared" si="2"/>
        <v>0.62</v>
      </c>
      <c r="K5" s="28" t="s">
        <v>602</v>
      </c>
      <c r="L5" s="28" t="s">
        <v>603</v>
      </c>
      <c r="M5" s="27" t="s">
        <v>34</v>
      </c>
    </row>
    <row r="6" spans="1:13" ht="60" customHeight="1" x14ac:dyDescent="0.35">
      <c r="A6" s="19" t="s">
        <v>604</v>
      </c>
      <c r="B6" s="24" t="s">
        <v>605</v>
      </c>
      <c r="C6" s="39">
        <v>0.4</v>
      </c>
      <c r="D6" s="39">
        <v>0.5</v>
      </c>
      <c r="E6" s="39">
        <v>0.6</v>
      </c>
      <c r="F6" s="20" t="s">
        <v>596</v>
      </c>
      <c r="G6" s="35" t="s">
        <v>585</v>
      </c>
      <c r="H6" s="40">
        <f t="shared" si="0"/>
        <v>0.4</v>
      </c>
      <c r="I6" s="40">
        <f t="shared" si="1"/>
        <v>0.5</v>
      </c>
      <c r="J6" s="40">
        <f t="shared" si="2"/>
        <v>0.6</v>
      </c>
      <c r="K6" s="20" t="s">
        <v>597</v>
      </c>
      <c r="L6" s="20" t="s">
        <v>606</v>
      </c>
      <c r="M6" s="19" t="s">
        <v>36</v>
      </c>
    </row>
    <row r="7" spans="1:13" ht="60" customHeight="1" x14ac:dyDescent="0.35">
      <c r="A7" s="27" t="s">
        <v>607</v>
      </c>
      <c r="B7" s="32" t="s">
        <v>608</v>
      </c>
      <c r="C7" s="41">
        <v>0.33</v>
      </c>
      <c r="D7" s="41">
        <v>0.38</v>
      </c>
      <c r="E7" s="41">
        <v>0.45</v>
      </c>
      <c r="F7" s="28" t="s">
        <v>609</v>
      </c>
      <c r="G7" s="34" t="s">
        <v>585</v>
      </c>
      <c r="H7" s="40">
        <f t="shared" si="0"/>
        <v>0.33</v>
      </c>
      <c r="I7" s="40">
        <f t="shared" si="1"/>
        <v>0.38</v>
      </c>
      <c r="J7" s="40">
        <f t="shared" si="2"/>
        <v>0.45</v>
      </c>
      <c r="K7" s="28" t="s">
        <v>610</v>
      </c>
      <c r="L7" s="28" t="s">
        <v>611</v>
      </c>
      <c r="M7" s="27" t="s">
        <v>34</v>
      </c>
    </row>
    <row r="8" spans="1:13" ht="60" customHeight="1" x14ac:dyDescent="0.35">
      <c r="A8" s="19" t="s">
        <v>612</v>
      </c>
      <c r="B8" s="24" t="s">
        <v>613</v>
      </c>
      <c r="C8" s="39">
        <v>0.25</v>
      </c>
      <c r="D8" s="39">
        <v>0.3</v>
      </c>
      <c r="E8" s="39">
        <v>0.34</v>
      </c>
      <c r="F8" s="20" t="s">
        <v>614</v>
      </c>
      <c r="G8" s="35" t="s">
        <v>585</v>
      </c>
      <c r="H8" s="40">
        <f t="shared" si="0"/>
        <v>0.25</v>
      </c>
      <c r="I8" s="40">
        <f t="shared" si="1"/>
        <v>0.3</v>
      </c>
      <c r="J8" s="40">
        <f t="shared" si="2"/>
        <v>0.34</v>
      </c>
      <c r="K8" s="20" t="s">
        <v>615</v>
      </c>
      <c r="L8" s="20" t="s">
        <v>616</v>
      </c>
      <c r="M8" s="19" t="s">
        <v>34</v>
      </c>
    </row>
    <row r="9" spans="1:13" ht="60" customHeight="1" x14ac:dyDescent="0.35">
      <c r="A9" s="27" t="s">
        <v>617</v>
      </c>
      <c r="B9" s="32" t="s">
        <v>618</v>
      </c>
      <c r="C9" s="41">
        <v>0.2</v>
      </c>
      <c r="D9" s="41">
        <v>0.25</v>
      </c>
      <c r="E9" s="41">
        <v>0.32</v>
      </c>
      <c r="F9" s="28" t="s">
        <v>619</v>
      </c>
      <c r="G9" s="34" t="s">
        <v>585</v>
      </c>
      <c r="H9" s="40">
        <f t="shared" si="0"/>
        <v>0.2</v>
      </c>
      <c r="I9" s="40">
        <f t="shared" si="1"/>
        <v>0.25</v>
      </c>
      <c r="J9" s="40">
        <f t="shared" si="2"/>
        <v>0.32</v>
      </c>
      <c r="K9" s="28" t="s">
        <v>615</v>
      </c>
      <c r="L9" s="28" t="s">
        <v>620</v>
      </c>
      <c r="M9" s="27" t="s">
        <v>36</v>
      </c>
    </row>
    <row r="10" spans="1:13" ht="60" customHeight="1" x14ac:dyDescent="0.35">
      <c r="A10" s="19" t="s">
        <v>621</v>
      </c>
      <c r="B10" s="24" t="s">
        <v>622</v>
      </c>
      <c r="C10" s="22">
        <v>12</v>
      </c>
      <c r="D10" s="22">
        <v>20</v>
      </c>
      <c r="E10" s="22">
        <v>30</v>
      </c>
      <c r="F10" s="20" t="s">
        <v>623</v>
      </c>
      <c r="G10" s="35" t="s">
        <v>585</v>
      </c>
      <c r="H10" s="38">
        <f t="shared" si="0"/>
        <v>12</v>
      </c>
      <c r="I10" s="38">
        <f t="shared" si="1"/>
        <v>20</v>
      </c>
      <c r="J10" s="38">
        <f t="shared" si="2"/>
        <v>30</v>
      </c>
      <c r="K10" s="20" t="s">
        <v>624</v>
      </c>
      <c r="L10" s="20" t="s">
        <v>625</v>
      </c>
      <c r="M10" s="19" t="s">
        <v>36</v>
      </c>
    </row>
    <row r="11" spans="1:13" ht="60" customHeight="1" x14ac:dyDescent="0.35">
      <c r="A11" s="27" t="s">
        <v>626</v>
      </c>
      <c r="B11" s="32" t="s">
        <v>627</v>
      </c>
      <c r="C11" s="41">
        <v>0.06</v>
      </c>
      <c r="D11" s="41">
        <v>7.4999999999999997E-2</v>
      </c>
      <c r="E11" s="41">
        <v>0.09</v>
      </c>
      <c r="F11" s="28" t="s">
        <v>628</v>
      </c>
      <c r="G11" s="34" t="s">
        <v>585</v>
      </c>
      <c r="H11" s="40">
        <f t="shared" si="0"/>
        <v>0.06</v>
      </c>
      <c r="I11" s="40">
        <f t="shared" si="1"/>
        <v>7.4999999999999997E-2</v>
      </c>
      <c r="J11" s="40">
        <f t="shared" si="2"/>
        <v>0.09</v>
      </c>
      <c r="K11" s="28" t="s">
        <v>629</v>
      </c>
      <c r="L11" s="28" t="s">
        <v>630</v>
      </c>
      <c r="M11" s="27" t="s">
        <v>34</v>
      </c>
    </row>
    <row r="12" spans="1:13" ht="60" customHeight="1" x14ac:dyDescent="0.35">
      <c r="A12" s="19" t="s">
        <v>631</v>
      </c>
      <c r="B12" s="24" t="s">
        <v>632</v>
      </c>
      <c r="C12" s="22">
        <v>3</v>
      </c>
      <c r="D12" s="22">
        <v>5</v>
      </c>
      <c r="E12" s="22">
        <v>8</v>
      </c>
      <c r="F12" s="20" t="s">
        <v>633</v>
      </c>
      <c r="G12" s="35" t="s">
        <v>585</v>
      </c>
      <c r="H12" s="38">
        <f t="shared" si="0"/>
        <v>3</v>
      </c>
      <c r="I12" s="38">
        <f t="shared" si="1"/>
        <v>5</v>
      </c>
      <c r="J12" s="38">
        <f t="shared" si="2"/>
        <v>8</v>
      </c>
      <c r="K12" s="20" t="s">
        <v>634</v>
      </c>
      <c r="L12" s="20" t="s">
        <v>635</v>
      </c>
      <c r="M12" s="19" t="s">
        <v>36</v>
      </c>
    </row>
    <row r="13" spans="1:13" ht="60" customHeight="1" x14ac:dyDescent="0.35">
      <c r="A13" s="27" t="s">
        <v>636</v>
      </c>
      <c r="B13" s="32" t="s">
        <v>637</v>
      </c>
      <c r="C13" s="41">
        <v>0.01</v>
      </c>
      <c r="D13" s="41">
        <v>0.02</v>
      </c>
      <c r="E13" s="41">
        <v>0.03</v>
      </c>
      <c r="F13" s="28" t="s">
        <v>638</v>
      </c>
      <c r="G13" s="34" t="s">
        <v>585</v>
      </c>
      <c r="H13" s="40">
        <f t="shared" si="0"/>
        <v>0.01</v>
      </c>
      <c r="I13" s="40">
        <f t="shared" si="1"/>
        <v>0.02</v>
      </c>
      <c r="J13" s="40">
        <f t="shared" si="2"/>
        <v>0.03</v>
      </c>
      <c r="K13" s="28" t="s">
        <v>634</v>
      </c>
      <c r="L13" s="28" t="s">
        <v>639</v>
      </c>
      <c r="M13" s="27" t="s">
        <v>36</v>
      </c>
    </row>
    <row r="14" spans="1:13" ht="60" customHeight="1" x14ac:dyDescent="0.35">
      <c r="A14" s="19" t="s">
        <v>640</v>
      </c>
      <c r="B14" s="24" t="s">
        <v>641</v>
      </c>
      <c r="C14" s="36">
        <v>-13</v>
      </c>
      <c r="D14" s="36">
        <v>30</v>
      </c>
      <c r="E14" s="36">
        <v>87</v>
      </c>
      <c r="F14" s="20" t="s">
        <v>642</v>
      </c>
      <c r="G14" s="35" t="s">
        <v>585</v>
      </c>
      <c r="H14" s="37">
        <f t="shared" si="0"/>
        <v>-13</v>
      </c>
      <c r="I14" s="37">
        <f t="shared" si="1"/>
        <v>30</v>
      </c>
      <c r="J14" s="37">
        <f t="shared" si="2"/>
        <v>87</v>
      </c>
      <c r="K14" s="20" t="s">
        <v>643</v>
      </c>
      <c r="L14" s="20" t="s">
        <v>644</v>
      </c>
      <c r="M14" s="19" t="s">
        <v>34</v>
      </c>
    </row>
    <row r="15" spans="1:13" ht="60" customHeight="1" x14ac:dyDescent="0.35">
      <c r="A15" s="27" t="s">
        <v>645</v>
      </c>
      <c r="B15" s="32" t="s">
        <v>646</v>
      </c>
      <c r="C15" s="41">
        <v>0.10100000000000001</v>
      </c>
      <c r="D15" s="41">
        <v>0.113</v>
      </c>
      <c r="E15" s="41">
        <v>0.13</v>
      </c>
      <c r="F15" s="28" t="s">
        <v>647</v>
      </c>
      <c r="G15" s="34" t="s">
        <v>648</v>
      </c>
      <c r="H15" s="40">
        <f t="shared" si="0"/>
        <v>0.113</v>
      </c>
      <c r="I15" s="40">
        <f t="shared" si="1"/>
        <v>0.113</v>
      </c>
      <c r="J15" s="40">
        <f t="shared" si="2"/>
        <v>0.113</v>
      </c>
      <c r="K15" s="28" t="s">
        <v>634</v>
      </c>
      <c r="L15" s="28" t="s">
        <v>649</v>
      </c>
      <c r="M15" s="27" t="s">
        <v>32</v>
      </c>
    </row>
    <row r="16" spans="1:13" ht="60" customHeight="1" x14ac:dyDescent="0.35">
      <c r="A16" s="19" t="s">
        <v>650</v>
      </c>
      <c r="B16" s="24" t="s">
        <v>651</v>
      </c>
      <c r="C16" s="39">
        <v>0.09</v>
      </c>
      <c r="D16" s="39">
        <v>0.12</v>
      </c>
      <c r="E16" s="39">
        <v>0.2</v>
      </c>
      <c r="F16" s="20" t="s">
        <v>652</v>
      </c>
      <c r="G16" s="35" t="s">
        <v>585</v>
      </c>
      <c r="H16" s="40">
        <f t="shared" si="0"/>
        <v>0.09</v>
      </c>
      <c r="I16" s="40">
        <f t="shared" si="1"/>
        <v>0.12</v>
      </c>
      <c r="J16" s="40">
        <f t="shared" si="2"/>
        <v>0.2</v>
      </c>
      <c r="K16" s="20" t="s">
        <v>653</v>
      </c>
      <c r="L16" s="20" t="s">
        <v>654</v>
      </c>
      <c r="M16" s="19" t="s">
        <v>34</v>
      </c>
    </row>
    <row r="17" spans="1:13" ht="60" customHeight="1" x14ac:dyDescent="0.35">
      <c r="A17" s="27" t="s">
        <v>655</v>
      </c>
      <c r="B17" s="32" t="s">
        <v>656</v>
      </c>
      <c r="C17" s="41">
        <v>0.05</v>
      </c>
      <c r="D17" s="41">
        <v>0.11</v>
      </c>
      <c r="E17" s="41">
        <v>0.28999999999999998</v>
      </c>
      <c r="F17" s="28" t="s">
        <v>657</v>
      </c>
      <c r="G17" s="34" t="s">
        <v>591</v>
      </c>
      <c r="H17" s="40">
        <f t="shared" si="0"/>
        <v>0.28999999999999998</v>
      </c>
      <c r="I17" s="40">
        <f t="shared" si="1"/>
        <v>0.11</v>
      </c>
      <c r="J17" s="40">
        <f t="shared" si="2"/>
        <v>0.05</v>
      </c>
      <c r="K17" s="28" t="s">
        <v>658</v>
      </c>
      <c r="L17" s="28" t="s">
        <v>659</v>
      </c>
      <c r="M17" s="27" t="s">
        <v>36</v>
      </c>
    </row>
    <row r="18" spans="1:13" ht="60" customHeight="1" x14ac:dyDescent="0.35">
      <c r="A18" s="19" t="s">
        <v>660</v>
      </c>
      <c r="B18" s="24" t="s">
        <v>661</v>
      </c>
      <c r="C18" s="39">
        <v>0.15</v>
      </c>
      <c r="D18" s="39">
        <v>0.2</v>
      </c>
      <c r="E18" s="39">
        <v>0.30199999999999999</v>
      </c>
      <c r="F18" s="20" t="s">
        <v>662</v>
      </c>
      <c r="G18" s="35" t="s">
        <v>585</v>
      </c>
      <c r="H18" s="40">
        <f t="shared" si="0"/>
        <v>0.15</v>
      </c>
      <c r="I18" s="40">
        <f t="shared" si="1"/>
        <v>0.2</v>
      </c>
      <c r="J18" s="40">
        <f t="shared" si="2"/>
        <v>0.30199999999999999</v>
      </c>
      <c r="K18" s="20" t="s">
        <v>663</v>
      </c>
      <c r="L18" s="20" t="s">
        <v>664</v>
      </c>
      <c r="M18" s="19" t="s">
        <v>36</v>
      </c>
    </row>
    <row r="19" spans="1:13" ht="60" customHeight="1" x14ac:dyDescent="0.35">
      <c r="A19" s="27" t="s">
        <v>665</v>
      </c>
      <c r="B19" s="32" t="s">
        <v>666</v>
      </c>
      <c r="C19" s="30">
        <v>652</v>
      </c>
      <c r="D19" s="30">
        <v>690</v>
      </c>
      <c r="E19" s="30">
        <v>690</v>
      </c>
      <c r="F19" s="28" t="s">
        <v>667</v>
      </c>
      <c r="G19" s="34" t="s">
        <v>585</v>
      </c>
      <c r="H19" s="38">
        <f t="shared" si="0"/>
        <v>652</v>
      </c>
      <c r="I19" s="38">
        <f t="shared" si="1"/>
        <v>690</v>
      </c>
      <c r="J19" s="38">
        <f t="shared" si="2"/>
        <v>690</v>
      </c>
      <c r="K19" s="28" t="s">
        <v>634</v>
      </c>
      <c r="L19" s="28" t="s">
        <v>668</v>
      </c>
      <c r="M19" s="27" t="s">
        <v>34</v>
      </c>
    </row>
    <row r="20" spans="1:13" ht="60" customHeight="1" x14ac:dyDescent="0.35">
      <c r="A20" s="19" t="s">
        <v>669</v>
      </c>
      <c r="B20" s="24" t="s">
        <v>670</v>
      </c>
      <c r="C20" s="22">
        <v>25</v>
      </c>
      <c r="D20" s="22">
        <v>50</v>
      </c>
      <c r="E20" s="22">
        <v>100</v>
      </c>
      <c r="F20" s="20" t="s">
        <v>671</v>
      </c>
      <c r="G20" s="35" t="s">
        <v>591</v>
      </c>
      <c r="H20" s="38">
        <f t="shared" si="0"/>
        <v>100</v>
      </c>
      <c r="I20" s="38">
        <f t="shared" si="1"/>
        <v>50</v>
      </c>
      <c r="J20" s="38">
        <f t="shared" si="2"/>
        <v>25</v>
      </c>
      <c r="K20" s="20"/>
      <c r="L20" s="20" t="s">
        <v>672</v>
      </c>
      <c r="M20" s="19" t="s">
        <v>36</v>
      </c>
    </row>
    <row r="21" spans="1:13" ht="60" customHeight="1" x14ac:dyDescent="0.35">
      <c r="A21" s="27" t="s">
        <v>673</v>
      </c>
      <c r="B21" s="32" t="s">
        <v>674</v>
      </c>
      <c r="C21" s="30">
        <v>284</v>
      </c>
      <c r="D21" s="30">
        <v>501</v>
      </c>
      <c r="E21" s="30">
        <v>650</v>
      </c>
      <c r="F21" s="28" t="s">
        <v>675</v>
      </c>
      <c r="G21" s="34" t="s">
        <v>591</v>
      </c>
      <c r="H21" s="38">
        <f t="shared" si="0"/>
        <v>650</v>
      </c>
      <c r="I21" s="38">
        <f t="shared" si="1"/>
        <v>501</v>
      </c>
      <c r="J21" s="38">
        <f t="shared" si="2"/>
        <v>284</v>
      </c>
      <c r="K21" s="28" t="s">
        <v>676</v>
      </c>
      <c r="L21" s="28" t="s">
        <v>677</v>
      </c>
      <c r="M21" s="27" t="s">
        <v>34</v>
      </c>
    </row>
    <row r="22" spans="1:13" ht="60" customHeight="1" x14ac:dyDescent="0.35">
      <c r="A22" s="19" t="s">
        <v>678</v>
      </c>
      <c r="B22" s="24" t="s">
        <v>679</v>
      </c>
      <c r="C22" s="22">
        <v>41</v>
      </c>
      <c r="D22" s="22">
        <v>41</v>
      </c>
      <c r="E22" s="22">
        <v>71</v>
      </c>
      <c r="F22" s="20" t="s">
        <v>680</v>
      </c>
      <c r="G22" s="35" t="s">
        <v>585</v>
      </c>
      <c r="H22" s="38">
        <f t="shared" si="0"/>
        <v>41</v>
      </c>
      <c r="I22" s="38">
        <f t="shared" si="1"/>
        <v>41</v>
      </c>
      <c r="J22" s="38">
        <f t="shared" si="2"/>
        <v>71</v>
      </c>
      <c r="K22" s="20" t="s">
        <v>634</v>
      </c>
      <c r="L22" s="20" t="s">
        <v>681</v>
      </c>
      <c r="M22" s="19" t="s">
        <v>32</v>
      </c>
    </row>
    <row r="23" spans="1:13" ht="60" customHeight="1" x14ac:dyDescent="0.35">
      <c r="A23" s="27" t="s">
        <v>682</v>
      </c>
      <c r="B23" s="32" t="s">
        <v>683</v>
      </c>
      <c r="C23" s="30">
        <v>17</v>
      </c>
      <c r="D23" s="30">
        <v>17</v>
      </c>
      <c r="E23" s="30">
        <v>17</v>
      </c>
      <c r="F23" s="28" t="s">
        <v>680</v>
      </c>
      <c r="G23" s="34" t="s">
        <v>648</v>
      </c>
      <c r="H23" s="38">
        <f t="shared" si="0"/>
        <v>17</v>
      </c>
      <c r="I23" s="38">
        <f t="shared" si="1"/>
        <v>17</v>
      </c>
      <c r="J23" s="38">
        <f t="shared" si="2"/>
        <v>17</v>
      </c>
      <c r="K23" s="28" t="s">
        <v>634</v>
      </c>
      <c r="L23" s="28" t="s">
        <v>684</v>
      </c>
      <c r="M23" s="27" t="s">
        <v>32</v>
      </c>
    </row>
    <row r="24" spans="1:13" ht="60" customHeight="1" x14ac:dyDescent="0.35">
      <c r="A24" s="19" t="s">
        <v>685</v>
      </c>
      <c r="B24" s="24" t="s">
        <v>686</v>
      </c>
      <c r="C24" s="36">
        <v>2</v>
      </c>
      <c r="D24" s="36">
        <v>3</v>
      </c>
      <c r="E24" s="36">
        <v>4</v>
      </c>
      <c r="F24" s="20" t="s">
        <v>687</v>
      </c>
      <c r="G24" s="35" t="s">
        <v>648</v>
      </c>
      <c r="H24" s="37">
        <f t="shared" si="0"/>
        <v>3</v>
      </c>
      <c r="I24" s="37">
        <f t="shared" si="1"/>
        <v>3</v>
      </c>
      <c r="J24" s="37">
        <f t="shared" si="2"/>
        <v>3</v>
      </c>
      <c r="K24" s="20" t="s">
        <v>688</v>
      </c>
      <c r="L24" s="20" t="s">
        <v>689</v>
      </c>
      <c r="M24" s="19" t="s">
        <v>36</v>
      </c>
    </row>
    <row r="25" spans="1:13" ht="60" customHeight="1" x14ac:dyDescent="0.35">
      <c r="A25" s="27" t="s">
        <v>690</v>
      </c>
      <c r="B25" s="32" t="s">
        <v>691</v>
      </c>
      <c r="C25" s="41">
        <v>0.05</v>
      </c>
      <c r="D25" s="41">
        <v>0.05</v>
      </c>
      <c r="E25" s="41">
        <v>0.05</v>
      </c>
      <c r="F25" s="28" t="s">
        <v>692</v>
      </c>
      <c r="G25" s="34" t="s">
        <v>648</v>
      </c>
      <c r="H25" s="40">
        <f t="shared" si="0"/>
        <v>0.05</v>
      </c>
      <c r="I25" s="40">
        <f t="shared" si="1"/>
        <v>0.05</v>
      </c>
      <c r="J25" s="40">
        <f t="shared" si="2"/>
        <v>0.05</v>
      </c>
      <c r="K25" s="28" t="s">
        <v>634</v>
      </c>
      <c r="L25" s="28" t="s">
        <v>693</v>
      </c>
      <c r="M25" s="27" t="s">
        <v>32</v>
      </c>
    </row>
    <row r="26" spans="1:13" ht="60" customHeight="1" x14ac:dyDescent="0.35">
      <c r="A26" s="19" t="s">
        <v>694</v>
      </c>
      <c r="B26" s="24" t="s">
        <v>695</v>
      </c>
      <c r="C26" s="22">
        <v>347</v>
      </c>
      <c r="D26" s="22">
        <v>347</v>
      </c>
      <c r="E26" s="22">
        <v>347</v>
      </c>
      <c r="F26" s="20" t="s">
        <v>680</v>
      </c>
      <c r="G26" s="35" t="s">
        <v>648</v>
      </c>
      <c r="H26" s="38">
        <f t="shared" si="0"/>
        <v>347</v>
      </c>
      <c r="I26" s="38">
        <f t="shared" si="1"/>
        <v>347</v>
      </c>
      <c r="J26" s="38">
        <f t="shared" si="2"/>
        <v>347</v>
      </c>
      <c r="K26" s="20" t="s">
        <v>696</v>
      </c>
      <c r="L26" s="20" t="s">
        <v>697</v>
      </c>
      <c r="M26" s="19" t="s">
        <v>32</v>
      </c>
    </row>
    <row r="28" spans="1:13" ht="15" customHeight="1" x14ac:dyDescent="0.35">
      <c r="A28" s="42" t="s">
        <v>698</v>
      </c>
    </row>
    <row r="29" spans="1:13" ht="15" customHeight="1" x14ac:dyDescent="0.35">
      <c r="A29" s="43" t="s">
        <v>699</v>
      </c>
      <c r="B29" s="43" t="s">
        <v>700</v>
      </c>
      <c r="D29" s="44">
        <v>2706.45</v>
      </c>
      <c r="K29" s="43" t="s">
        <v>701</v>
      </c>
    </row>
    <row r="30" spans="1:13" ht="15" customHeight="1" x14ac:dyDescent="0.35">
      <c r="A30" s="43" t="s">
        <v>702</v>
      </c>
      <c r="B30" s="43" t="s">
        <v>703</v>
      </c>
      <c r="D30" s="45">
        <v>3.5000000000000003E-2</v>
      </c>
      <c r="K30" s="43" t="s">
        <v>615</v>
      </c>
    </row>
    <row r="31" spans="1:13" ht="15" customHeight="1" x14ac:dyDescent="0.35">
      <c r="A31" s="43" t="s">
        <v>704</v>
      </c>
      <c r="B31" s="43" t="s">
        <v>705</v>
      </c>
      <c r="D31" s="45">
        <v>0.48</v>
      </c>
      <c r="K31" s="43" t="s">
        <v>615</v>
      </c>
    </row>
    <row r="32" spans="1:13" ht="15" customHeight="1" x14ac:dyDescent="0.35">
      <c r="A32" s="43" t="s">
        <v>706</v>
      </c>
      <c r="B32" s="43" t="s">
        <v>707</v>
      </c>
      <c r="D32" s="45">
        <v>0.34</v>
      </c>
      <c r="K32" s="43" t="s">
        <v>634</v>
      </c>
    </row>
    <row r="33" spans="1:11" ht="15" customHeight="1" x14ac:dyDescent="0.35">
      <c r="A33" s="43" t="s">
        <v>708</v>
      </c>
      <c r="B33" s="43" t="s">
        <v>709</v>
      </c>
      <c r="D33" s="46">
        <v>5</v>
      </c>
      <c r="K33" s="43" t="s">
        <v>710</v>
      </c>
    </row>
    <row r="35" spans="1:11" ht="15" customHeight="1" x14ac:dyDescent="0.35">
      <c r="A35" s="43" t="s">
        <v>711</v>
      </c>
    </row>
  </sheetData>
  <autoFilter ref="A1:M26" xr:uid="{00000000-0009-0000-0000-000004000000}"/>
  <conditionalFormatting sqref="M2:M26">
    <cfRule type="expression" dxfId="7" priority="2">
      <formula>M2="High"</formula>
    </cfRule>
    <cfRule type="expression" dxfId="6" priority="3">
      <formula>M2="Medium"</formula>
    </cfRule>
    <cfRule type="expression" dxfId="5" priority="4">
      <formula>OR(M2="Low",ISNUMBER(SEARCH("UNCONFIRMED",M2)))</formula>
    </cfRule>
  </conditionalFormatting>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04E23"/>
    <pageSetUpPr fitToPage="1"/>
  </sheetPr>
  <dimension ref="A1:M137"/>
  <sheetViews>
    <sheetView zoomScaleNormal="100" workbookViewId="0">
      <pane xSplit="2" ySplit="3" topLeftCell="C4" activePane="bottomRight" state="frozen"/>
      <selection pane="topRight" activeCell="C1" sqref="C1"/>
      <selection pane="bottomLeft" activeCell="A4" sqref="A4"/>
      <selection pane="bottomRight"/>
    </sheetView>
  </sheetViews>
  <sheetFormatPr defaultColWidth="8.6328125" defaultRowHeight="14.5" x14ac:dyDescent="0.35"/>
  <cols>
    <col min="1" max="1" width="2" customWidth="1"/>
    <col min="2" max="2" width="66" customWidth="1"/>
    <col min="3" max="13" width="11" customWidth="1"/>
  </cols>
  <sheetData>
    <row r="1" spans="1:13" ht="17.399999999999999" customHeight="1" x14ac:dyDescent="0.4">
      <c r="A1" s="47" t="s">
        <v>712</v>
      </c>
    </row>
    <row r="2" spans="1:13" ht="15" customHeight="1" x14ac:dyDescent="0.35">
      <c r="A2" s="48" t="s">
        <v>713</v>
      </c>
    </row>
    <row r="4" spans="1:13" ht="15" customHeight="1" x14ac:dyDescent="0.35">
      <c r="A4" s="49" t="s">
        <v>714</v>
      </c>
      <c r="B4" s="50"/>
      <c r="C4" s="50"/>
      <c r="D4" s="50"/>
      <c r="E4" s="50"/>
      <c r="F4" s="50"/>
      <c r="G4" s="50"/>
      <c r="H4" s="50"/>
      <c r="I4" s="50"/>
      <c r="J4" s="50"/>
      <c r="K4" s="50"/>
      <c r="L4" s="50"/>
      <c r="M4" s="50"/>
    </row>
    <row r="5" spans="1:13" ht="15" customHeight="1" x14ac:dyDescent="0.35">
      <c r="B5" s="51" t="s">
        <v>715</v>
      </c>
      <c r="C5" s="52">
        <f>ROUND(Assumptions!$I$2,0)</f>
        <v>6</v>
      </c>
    </row>
    <row r="6" spans="1:13" ht="15" customHeight="1" x14ac:dyDescent="0.35">
      <c r="B6" s="51" t="s">
        <v>716</v>
      </c>
      <c r="C6" s="53">
        <f>(Assumptions!$I$26/Assumptions!$I$3)^(1/($C$5-1))</f>
        <v>1.6923020994413156</v>
      </c>
    </row>
    <row r="7" spans="1:13" ht="15" customHeight="1" x14ac:dyDescent="0.35">
      <c r="B7" s="51" t="s">
        <v>717</v>
      </c>
      <c r="C7" s="52">
        <f>INT(Assumptions!$I$24)</f>
        <v>3</v>
      </c>
    </row>
    <row r="9" spans="1:13" ht="15" customHeight="1" x14ac:dyDescent="0.35">
      <c r="B9" s="54" t="s">
        <v>718</v>
      </c>
      <c r="C9" s="54">
        <v>0</v>
      </c>
      <c r="D9" s="54">
        <v>1</v>
      </c>
      <c r="E9" s="54">
        <v>2</v>
      </c>
      <c r="F9" s="54">
        <v>3</v>
      </c>
      <c r="G9" s="54">
        <v>4</v>
      </c>
      <c r="H9" s="54">
        <v>5</v>
      </c>
      <c r="I9" s="54">
        <v>6</v>
      </c>
      <c r="J9" s="54">
        <v>7</v>
      </c>
      <c r="K9" s="54">
        <v>8</v>
      </c>
      <c r="L9" s="54">
        <v>9</v>
      </c>
      <c r="M9" s="54">
        <v>10</v>
      </c>
    </row>
    <row r="10" spans="1:13" ht="15" customHeight="1" x14ac:dyDescent="0.35">
      <c r="B10" s="51" t="s">
        <v>719</v>
      </c>
      <c r="C10" s="55">
        <f>IF(C$9=0,0,IF(C$9&lt;=$C$5,Assumptions!$I$3*$C$6^(C$9-1),0))</f>
        <v>0</v>
      </c>
      <c r="D10" s="55">
        <f>IF(D$9=0,0,IF(D$9&lt;=$C$5,Assumptions!$I$3*$C$6^(D$9-1),C10*(1+IF(D$9-$C$5=1,Assumptions!$D$31,IF(D$9-$C$5=2,Assumptions!$D$32,Assumptions!$I$16)))))</f>
        <v>25</v>
      </c>
      <c r="E10" s="55">
        <f>IF(E$9=0,0,IF(E$9&lt;=$C$5,Assumptions!$I$3*$C$6^(E$9-1),D10*(1+IF(E$9-$C$5=1,Assumptions!$D$31,IF(E$9-$C$5=2,Assumptions!$D$32,Assumptions!$I$16)))))</f>
        <v>42.30755248603289</v>
      </c>
      <c r="F10" s="55">
        <f>IF(F$9=0,0,IF(F$9&lt;=$C$5,Assumptions!$I$3*$C$6^(F$9-1),E10*(1+IF(F$9-$C$5=1,Assumptions!$D$31,IF(F$9-$C$5=2,Assumptions!$D$32,Assumptions!$I$16)))))</f>
        <v>71.597159894337111</v>
      </c>
      <c r="G10" s="55">
        <f>IF(G$9=0,0,IF(G$9&lt;=$C$5,Assumptions!$I$3*$C$6^(G$9-1),F10*(1+IF(G$9-$C$5=1,Assumptions!$D$31,IF(G$9-$C$5=2,Assumptions!$D$32,Assumptions!$I$16)))))</f>
        <v>121.16402400322227</v>
      </c>
      <c r="H10" s="55">
        <f>IF(H$9=0,0,IF(H$9&lt;=$C$5,Assumptions!$I$3*$C$6^(H$9-1),G10*(1+IF(H$9-$C$5=1,Assumptions!$D$31,IF(H$9-$C$5=2,Assumptions!$D$32,Assumptions!$I$16)))))</f>
        <v>205.046132197411</v>
      </c>
      <c r="I10" s="55">
        <f>IF(I$9=0,0,IF(I$9&lt;=$C$5,Assumptions!$I$3*$C$6^(I$9-1),H10*(1+IF(I$9-$C$5=1,Assumptions!$D$31,IF(I$9-$C$5=2,Assumptions!$D$32,Assumptions!$I$16)))))</f>
        <v>347.00000000000017</v>
      </c>
      <c r="J10" s="55">
        <f>IF(J$9=0,0,IF(J$9&lt;=$C$5,Assumptions!$I$3*$C$6^(J$9-1),I10*(1+IF(J$9-$C$5=1,Assumptions!$D$31,IF(J$9-$C$5=2,Assumptions!$D$32,Assumptions!$I$16)))))</f>
        <v>513.56000000000029</v>
      </c>
      <c r="K10" s="55">
        <f>IF(K$9=0,0,IF(K$9&lt;=$C$5,Assumptions!$I$3*$C$6^(K$9-1),J10*(1+IF(K$9-$C$5=1,Assumptions!$D$31,IF(K$9-$C$5=2,Assumptions!$D$32,Assumptions!$I$16)))))</f>
        <v>688.17040000000043</v>
      </c>
      <c r="L10" s="55">
        <f>IF(L$9=0,0,IF(L$9&lt;=$C$5,Assumptions!$I$3*$C$6^(L$9-1),K10*(1+IF(L$9-$C$5=1,Assumptions!$D$31,IF(L$9-$C$5=2,Assumptions!$D$32,Assumptions!$I$16)))))</f>
        <v>770.75084800000059</v>
      </c>
      <c r="M10" s="55">
        <f>IF(M$9=0,0,IF(M$9&lt;=$C$5,Assumptions!$I$3*$C$6^(M$9-1),L10*(1+IF(M$9-$C$5=1,Assumptions!$D$31,IF(M$9-$C$5=2,Assumptions!$D$32,Assumptions!$I$16)))))</f>
        <v>863.24094976000072</v>
      </c>
    </row>
    <row r="11" spans="1:13" ht="15" customHeight="1" x14ac:dyDescent="0.35">
      <c r="B11" s="51" t="s">
        <v>720</v>
      </c>
      <c r="C11" s="53">
        <f>IF(C$9=0,0,IF(C$9&lt;=$C$5,IF(C$9&lt;=2,Assumptions!$I$4,Assumptions!$I$4+(C$9-2)/MAX($C$5-2,1)*(Assumptions!$I$5-Assumptions!$I$4)),Assumptions!$I$5))</f>
        <v>0</v>
      </c>
      <c r="D11" s="53">
        <f>IF(D$9=0,0,IF(D$9&lt;=$C$5,IF(D$9&lt;=2,Assumptions!$I$4,Assumptions!$I$4+(D$9-2)/MAX($C$5-2,1)*(Assumptions!$I$5-Assumptions!$I$4)),Assumptions!$I$5))</f>
        <v>0.6</v>
      </c>
      <c r="E11" s="53">
        <f>IF(E$9=0,0,IF(E$9&lt;=$C$5,IF(E$9&lt;=2,Assumptions!$I$4,Assumptions!$I$4+(E$9-2)/MAX($C$5-2,1)*(Assumptions!$I$5-Assumptions!$I$4)),Assumptions!$I$5))</f>
        <v>0.6</v>
      </c>
      <c r="F11" s="53">
        <f>IF(F$9=0,0,IF(F$9&lt;=$C$5,IF(F$9&lt;=2,Assumptions!$I$4,Assumptions!$I$4+(F$9-2)/MAX($C$5-2,1)*(Assumptions!$I$5-Assumptions!$I$4)),Assumptions!$I$5))</f>
        <v>0.625</v>
      </c>
      <c r="G11" s="53">
        <f>IF(G$9=0,0,IF(G$9&lt;=$C$5,IF(G$9&lt;=2,Assumptions!$I$4,Assumptions!$I$4+(G$9-2)/MAX($C$5-2,1)*(Assumptions!$I$5-Assumptions!$I$4)),Assumptions!$I$5))</f>
        <v>0.64999999999999991</v>
      </c>
      <c r="H11" s="53">
        <f>IF(H$9=0,0,IF(H$9&lt;=$C$5,IF(H$9&lt;=2,Assumptions!$I$4,Assumptions!$I$4+(H$9-2)/MAX($C$5-2,1)*(Assumptions!$I$5-Assumptions!$I$4)),Assumptions!$I$5))</f>
        <v>0.67499999999999993</v>
      </c>
      <c r="I11" s="53">
        <f>IF(I$9=0,0,IF(I$9&lt;=$C$5,IF(I$9&lt;=2,Assumptions!$I$4,Assumptions!$I$4+(I$9-2)/MAX($C$5-2,1)*(Assumptions!$I$5-Assumptions!$I$4)),Assumptions!$I$5))</f>
        <v>0.7</v>
      </c>
      <c r="J11" s="53">
        <f>IF(J$9=0,0,IF(J$9&lt;=$C$5,IF(J$9&lt;=2,Assumptions!$I$4,Assumptions!$I$4+(J$9-2)/MAX($C$5-2,1)*(Assumptions!$I$5-Assumptions!$I$4)),Assumptions!$I$5))</f>
        <v>0.7</v>
      </c>
      <c r="K11" s="53">
        <f>IF(K$9=0,0,IF(K$9&lt;=$C$5,IF(K$9&lt;=2,Assumptions!$I$4,Assumptions!$I$4+(K$9-2)/MAX($C$5-2,1)*(Assumptions!$I$5-Assumptions!$I$4)),Assumptions!$I$5))</f>
        <v>0.7</v>
      </c>
      <c r="L11" s="53">
        <f>IF(L$9=0,0,IF(L$9&lt;=$C$5,IF(L$9&lt;=2,Assumptions!$I$4,Assumptions!$I$4+(L$9-2)/MAX($C$5-2,1)*(Assumptions!$I$5-Assumptions!$I$4)),Assumptions!$I$5))</f>
        <v>0.7</v>
      </c>
      <c r="M11" s="53">
        <f>IF(M$9=0,0,IF(M$9&lt;=$C$5,IF(M$9&lt;=2,Assumptions!$I$4,Assumptions!$I$4+(M$9-2)/MAX($C$5-2,1)*(Assumptions!$I$5-Assumptions!$I$4)),Assumptions!$I$5))</f>
        <v>0.7</v>
      </c>
    </row>
    <row r="12" spans="1:13" ht="15" customHeight="1" x14ac:dyDescent="0.35">
      <c r="B12" s="51" t="s">
        <v>721</v>
      </c>
      <c r="C12" s="53">
        <f>IF(C$9=0,0,IF(C$9&lt;=$C$5,IF(C$9&lt;=2,Assumptions!$I$6,Assumptions!$I$7),Assumptions!$I$8))</f>
        <v>0</v>
      </c>
      <c r="D12" s="53">
        <f>IF(D$9=0,0,IF(D$9&lt;=$C$5,IF(D$9&lt;=2,Assumptions!$I$6,Assumptions!$I$7),Assumptions!$I$8))</f>
        <v>0.5</v>
      </c>
      <c r="E12" s="53">
        <f>IF(E$9=0,0,IF(E$9&lt;=$C$5,IF(E$9&lt;=2,Assumptions!$I$6,Assumptions!$I$7),Assumptions!$I$8))</f>
        <v>0.5</v>
      </c>
      <c r="F12" s="53">
        <f>IF(F$9=0,0,IF(F$9&lt;=$C$5,IF(F$9&lt;=2,Assumptions!$I$6,Assumptions!$I$7),Assumptions!$I$8))</f>
        <v>0.38</v>
      </c>
      <c r="G12" s="53">
        <f>IF(G$9=0,0,IF(G$9&lt;=$C$5,IF(G$9&lt;=2,Assumptions!$I$6,Assumptions!$I$7),Assumptions!$I$8))</f>
        <v>0.38</v>
      </c>
      <c r="H12" s="53">
        <f>IF(H$9=0,0,IF(H$9&lt;=$C$5,IF(H$9&lt;=2,Assumptions!$I$6,Assumptions!$I$7),Assumptions!$I$8))</f>
        <v>0.38</v>
      </c>
      <c r="I12" s="53">
        <f>IF(I$9=0,0,IF(I$9&lt;=$C$5,IF(I$9&lt;=2,Assumptions!$I$6,Assumptions!$I$7),Assumptions!$I$8))</f>
        <v>0.38</v>
      </c>
      <c r="J12" s="53">
        <f>IF(J$9=0,0,IF(J$9&lt;=$C$5,IF(J$9&lt;=2,Assumptions!$I$6,Assumptions!$I$7),Assumptions!$I$8))</f>
        <v>0.3</v>
      </c>
      <c r="K12" s="53">
        <f>IF(K$9=0,0,IF(K$9&lt;=$C$5,IF(K$9&lt;=2,Assumptions!$I$6,Assumptions!$I$7),Assumptions!$I$8))</f>
        <v>0.3</v>
      </c>
      <c r="L12" s="53">
        <f>IF(L$9=0,0,IF(L$9&lt;=$C$5,IF(L$9&lt;=2,Assumptions!$I$6,Assumptions!$I$7),Assumptions!$I$8))</f>
        <v>0.3</v>
      </c>
      <c r="M12" s="53">
        <f>IF(M$9=0,0,IF(M$9&lt;=$C$5,IF(M$9&lt;=2,Assumptions!$I$6,Assumptions!$I$7),Assumptions!$I$8))</f>
        <v>0.3</v>
      </c>
    </row>
    <row r="13" spans="1:13" ht="15" customHeight="1" x14ac:dyDescent="0.35">
      <c r="B13" s="51" t="s">
        <v>722</v>
      </c>
      <c r="C13" s="55">
        <f t="shared" ref="C13:M13" si="0">C11*C10</f>
        <v>0</v>
      </c>
      <c r="D13" s="55">
        <f t="shared" si="0"/>
        <v>15</v>
      </c>
      <c r="E13" s="55">
        <f t="shared" si="0"/>
        <v>25.384531491619732</v>
      </c>
      <c r="F13" s="55">
        <f t="shared" si="0"/>
        <v>44.748224933960692</v>
      </c>
      <c r="G13" s="55">
        <f t="shared" si="0"/>
        <v>78.756615602094456</v>
      </c>
      <c r="H13" s="55">
        <f t="shared" si="0"/>
        <v>138.40613923325242</v>
      </c>
      <c r="I13" s="55">
        <f t="shared" si="0"/>
        <v>242.90000000000009</v>
      </c>
      <c r="J13" s="55">
        <f t="shared" si="0"/>
        <v>359.49200000000019</v>
      </c>
      <c r="K13" s="55">
        <f t="shared" si="0"/>
        <v>481.71928000000025</v>
      </c>
      <c r="L13" s="55">
        <f t="shared" si="0"/>
        <v>539.52559360000032</v>
      </c>
      <c r="M13" s="55">
        <f t="shared" si="0"/>
        <v>604.26866483200047</v>
      </c>
    </row>
    <row r="14" spans="1:13" ht="15" customHeight="1" x14ac:dyDescent="0.35">
      <c r="B14" s="51" t="s">
        <v>723</v>
      </c>
      <c r="C14" s="55">
        <f t="shared" ref="C14:M14" si="1">C12*C10</f>
        <v>0</v>
      </c>
      <c r="D14" s="55">
        <f t="shared" si="1"/>
        <v>12.5</v>
      </c>
      <c r="E14" s="55">
        <f t="shared" si="1"/>
        <v>21.153776243016445</v>
      </c>
      <c r="F14" s="55">
        <f t="shared" si="1"/>
        <v>27.206920759848103</v>
      </c>
      <c r="G14" s="55">
        <f t="shared" si="1"/>
        <v>46.042329121224462</v>
      </c>
      <c r="H14" s="55">
        <f t="shared" si="1"/>
        <v>77.917530235016187</v>
      </c>
      <c r="I14" s="55">
        <f t="shared" si="1"/>
        <v>131.86000000000007</v>
      </c>
      <c r="J14" s="55">
        <f t="shared" si="1"/>
        <v>154.06800000000007</v>
      </c>
      <c r="K14" s="55">
        <f t="shared" si="1"/>
        <v>206.45112000000012</v>
      </c>
      <c r="L14" s="55">
        <f t="shared" si="1"/>
        <v>231.22525440000015</v>
      </c>
      <c r="M14" s="55">
        <f t="shared" si="1"/>
        <v>258.97228492800019</v>
      </c>
    </row>
    <row r="15" spans="1:13" ht="15" customHeight="1" x14ac:dyDescent="0.35">
      <c r="B15" s="51" t="s">
        <v>724</v>
      </c>
      <c r="C15" s="55">
        <f>Assumptions!$I$12+Assumptions!$I$13*C10</f>
        <v>5</v>
      </c>
      <c r="D15" s="55">
        <f>Assumptions!$I$12+Assumptions!$I$13*D10</f>
        <v>5.5</v>
      </c>
      <c r="E15" s="55">
        <f>Assumptions!$I$12+Assumptions!$I$13*E10</f>
        <v>5.8461510497206577</v>
      </c>
      <c r="F15" s="55">
        <f>Assumptions!$I$12+Assumptions!$I$13*F10</f>
        <v>6.4319431978867421</v>
      </c>
      <c r="G15" s="55">
        <f>Assumptions!$I$12+Assumptions!$I$13*G10</f>
        <v>7.4232804800644452</v>
      </c>
      <c r="H15" s="55">
        <f>Assumptions!$I$12+Assumptions!$I$13*H10</f>
        <v>9.1009226439482198</v>
      </c>
      <c r="I15" s="55">
        <f>Assumptions!$I$12+Assumptions!$I$13*I10</f>
        <v>11.940000000000005</v>
      </c>
      <c r="J15" s="55">
        <f>Assumptions!$I$12+Assumptions!$I$13*J10</f>
        <v>15.271200000000006</v>
      </c>
      <c r="K15" s="55">
        <f>Assumptions!$I$12+Assumptions!$I$13*K10</f>
        <v>18.763408000000009</v>
      </c>
      <c r="L15" s="55">
        <f>Assumptions!$I$12+Assumptions!$I$13*L10</f>
        <v>20.41501696000001</v>
      </c>
      <c r="M15" s="55">
        <f>Assumptions!$I$12+Assumptions!$I$13*M10</f>
        <v>22.264818995200013</v>
      </c>
    </row>
    <row r="16" spans="1:13" ht="15" customHeight="1" x14ac:dyDescent="0.35">
      <c r="B16" s="51" t="s">
        <v>725</v>
      </c>
      <c r="C16" s="55">
        <f>IF(C$9=0,0.5*Assumptions!$I$10,MAX(Assumptions!$I$10,Assumptions!$I$11*C10))</f>
        <v>10</v>
      </c>
      <c r="D16" s="55">
        <f>IF(D$9=0,0.5*Assumptions!$I$10,MAX(Assumptions!$I$10,Assumptions!$I$11*D10))</f>
        <v>20</v>
      </c>
      <c r="E16" s="55">
        <f>IF(E$9=0,0.5*Assumptions!$I$10,MAX(Assumptions!$I$10,Assumptions!$I$11*E10))</f>
        <v>20</v>
      </c>
      <c r="F16" s="55">
        <f>IF(F$9=0,0.5*Assumptions!$I$10,MAX(Assumptions!$I$10,Assumptions!$I$11*F10))</f>
        <v>20</v>
      </c>
      <c r="G16" s="55">
        <f>IF(G$9=0,0.5*Assumptions!$I$10,MAX(Assumptions!$I$10,Assumptions!$I$11*G10))</f>
        <v>20</v>
      </c>
      <c r="H16" s="55">
        <f>IF(H$9=0,0.5*Assumptions!$I$10,MAX(Assumptions!$I$10,Assumptions!$I$11*H10))</f>
        <v>20</v>
      </c>
      <c r="I16" s="55">
        <f>IF(I$9=0,0.5*Assumptions!$I$10,MAX(Assumptions!$I$10,Assumptions!$I$11*I10))</f>
        <v>26.025000000000013</v>
      </c>
      <c r="J16" s="55">
        <f>IF(J$9=0,0.5*Assumptions!$I$10,MAX(Assumptions!$I$10,Assumptions!$I$11*J10))</f>
        <v>38.517000000000017</v>
      </c>
      <c r="K16" s="55">
        <f>IF(K$9=0,0.5*Assumptions!$I$10,MAX(Assumptions!$I$10,Assumptions!$I$11*K10))</f>
        <v>51.612780000000029</v>
      </c>
      <c r="L16" s="55">
        <f>IF(L$9=0,0.5*Assumptions!$I$10,MAX(Assumptions!$I$10,Assumptions!$I$11*L10))</f>
        <v>57.806313600000038</v>
      </c>
      <c r="M16" s="55">
        <f>IF(M$9=0,0.5*Assumptions!$I$10,MAX(Assumptions!$I$10,Assumptions!$I$11*M10))</f>
        <v>64.743071232000048</v>
      </c>
    </row>
    <row r="17" spans="2:13" ht="15" customHeight="1" x14ac:dyDescent="0.35">
      <c r="B17" s="51" t="s">
        <v>726</v>
      </c>
      <c r="C17" s="55">
        <f>IF(C$9=0,0,Assumptions!$I$9*C10)</f>
        <v>0</v>
      </c>
      <c r="D17" s="55">
        <f>IF(D$9=0,0,Assumptions!$I$9*D10)</f>
        <v>6.25</v>
      </c>
      <c r="E17" s="55">
        <f>IF(E$9=0,0,Assumptions!$I$9*E10)</f>
        <v>10.576888121508222</v>
      </c>
      <c r="F17" s="55">
        <f>IF(F$9=0,0,Assumptions!$I$9*F10)</f>
        <v>17.899289973584278</v>
      </c>
      <c r="G17" s="55">
        <f>IF(G$9=0,0,Assumptions!$I$9*G10)</f>
        <v>30.291006000805567</v>
      </c>
      <c r="H17" s="55">
        <f>IF(H$9=0,0,Assumptions!$I$9*H10)</f>
        <v>51.261533049352749</v>
      </c>
      <c r="I17" s="55">
        <f>IF(I$9=0,0,Assumptions!$I$9*I10)</f>
        <v>86.750000000000043</v>
      </c>
      <c r="J17" s="55">
        <f>IF(J$9=0,0,Assumptions!$I$9*J10)</f>
        <v>128.39000000000007</v>
      </c>
      <c r="K17" s="55">
        <f>IF(K$9=0,0,Assumptions!$I$9*K10)</f>
        <v>172.04260000000011</v>
      </c>
      <c r="L17" s="55">
        <f>IF(L$9=0,0,Assumptions!$I$9*L10)</f>
        <v>192.68771200000015</v>
      </c>
      <c r="M17" s="55">
        <f>IF(M$9=0,0,Assumptions!$I$9*M10)</f>
        <v>215.81023744000018</v>
      </c>
    </row>
    <row r="18" spans="2:13" ht="15" customHeight="1" x14ac:dyDescent="0.35">
      <c r="B18" s="51" t="s">
        <v>727</v>
      </c>
      <c r="C18" s="55">
        <f t="shared" ref="C18:M18" si="2">C13-C14-C17-C16-C15</f>
        <v>-15</v>
      </c>
      <c r="D18" s="55">
        <f t="shared" si="2"/>
        <v>-29.25</v>
      </c>
      <c r="E18" s="55">
        <f t="shared" si="2"/>
        <v>-32.192283922625592</v>
      </c>
      <c r="F18" s="55">
        <f t="shared" si="2"/>
        <v>-26.78992899735843</v>
      </c>
      <c r="G18" s="55">
        <f t="shared" si="2"/>
        <v>-25.000000000000018</v>
      </c>
      <c r="H18" s="55">
        <f t="shared" si="2"/>
        <v>-19.873846695064739</v>
      </c>
      <c r="I18" s="55">
        <f t="shared" si="2"/>
        <v>-13.67500000000004</v>
      </c>
      <c r="J18" s="55">
        <f t="shared" si="2"/>
        <v>23.245800000000024</v>
      </c>
      <c r="K18" s="55">
        <f t="shared" si="2"/>
        <v>32.849371999999988</v>
      </c>
      <c r="L18" s="55">
        <f t="shared" si="2"/>
        <v>37.391296639999972</v>
      </c>
      <c r="M18" s="55">
        <f t="shared" si="2"/>
        <v>42.478252236800031</v>
      </c>
    </row>
    <row r="19" spans="2:13" ht="15" customHeight="1" x14ac:dyDescent="0.35">
      <c r="B19" s="51" t="s">
        <v>728</v>
      </c>
      <c r="C19" s="55">
        <f t="shared" ref="C19:M19" si="3">IF(C$9&lt;=$C$5,C17,C13-C14-C16-C15-C20)</f>
        <v>0</v>
      </c>
      <c r="D19" s="55">
        <f t="shared" si="3"/>
        <v>6.25</v>
      </c>
      <c r="E19" s="55">
        <f t="shared" si="3"/>
        <v>10.576888121508222</v>
      </c>
      <c r="F19" s="55">
        <f t="shared" si="3"/>
        <v>17.899289973584278</v>
      </c>
      <c r="G19" s="55">
        <f t="shared" si="3"/>
        <v>30.291006000805567</v>
      </c>
      <c r="H19" s="55">
        <f t="shared" si="3"/>
        <v>51.261533049352749</v>
      </c>
      <c r="I19" s="55">
        <f t="shared" si="3"/>
        <v>86.750000000000043</v>
      </c>
      <c r="J19" s="55">
        <f t="shared" si="3"/>
        <v>116.71372000000008</v>
      </c>
      <c r="K19" s="55">
        <f t="shared" si="3"/>
        <v>135.38676160000006</v>
      </c>
      <c r="L19" s="55">
        <f t="shared" si="3"/>
        <v>126.79839500800004</v>
      </c>
      <c r="M19" s="55">
        <f t="shared" si="3"/>
        <v>114.12725106688009</v>
      </c>
    </row>
    <row r="20" spans="2:13" ht="15" customHeight="1" x14ac:dyDescent="0.35">
      <c r="B20" s="51" t="s">
        <v>729</v>
      </c>
      <c r="C20" s="55">
        <f>IF(C$9&lt;=$C$5,C18,($C$29+(Assumptions!$I$18-$C$29)*MIN(MAX(C$9-$C$5,0)/Assumptions!$D$33,1))*C10)</f>
        <v>-15</v>
      </c>
      <c r="D20" s="55">
        <f>IF(D$9&lt;=$C$5,D18,($C$29+(Assumptions!$I$18-$C$29)*MIN(MAX(D$9-$C$5,0)/Assumptions!$D$33,1))*D10)</f>
        <v>-29.25</v>
      </c>
      <c r="E20" s="55">
        <f>IF(E$9&lt;=$C$5,E18,($C$29+(Assumptions!$I$18-$C$29)*MIN(MAX(E$9-$C$5,0)/Assumptions!$D$33,1))*E10)</f>
        <v>-32.192283922625592</v>
      </c>
      <c r="F20" s="55">
        <f>IF(F$9&lt;=$C$5,F18,($C$29+(Assumptions!$I$18-$C$29)*MIN(MAX(F$9-$C$5,0)/Assumptions!$D$33,1))*F10)</f>
        <v>-26.78992899735843</v>
      </c>
      <c r="G20" s="55">
        <f>IF(G$9&lt;=$C$5,G18,($C$29+(Assumptions!$I$18-$C$29)*MIN(MAX(G$9-$C$5,0)/Assumptions!$D$33,1))*G10)</f>
        <v>-25.000000000000018</v>
      </c>
      <c r="H20" s="55">
        <f>IF(H$9&lt;=$C$5,H18,($C$29+(Assumptions!$I$18-$C$29)*MIN(MAX(H$9-$C$5,0)/Assumptions!$D$33,1))*H10)</f>
        <v>-19.873846695064739</v>
      </c>
      <c r="I20" s="55">
        <f>IF(I$9&lt;=$C$5,I18,($C$29+(Assumptions!$I$18-$C$29)*MIN(MAX(I$9-$C$5,0)/Assumptions!$D$33,1))*I10)</f>
        <v>-13.67500000000004</v>
      </c>
      <c r="J20" s="55">
        <f>IF(J$9&lt;=$C$5,J18,($C$29+(Assumptions!$I$18-$C$29)*MIN(MAX(J$9-$C$5,0)/Assumptions!$D$33,1))*J10)</f>
        <v>34.922080000000022</v>
      </c>
      <c r="K20" s="55">
        <f>IF(K$9&lt;=$C$5,K18,($C$29+(Assumptions!$I$18-$C$29)*MIN(MAX(K$9-$C$5,0)/Assumptions!$D$33,1))*K10)</f>
        <v>69.505210400000053</v>
      </c>
      <c r="L20" s="55">
        <f>IF(L$9&lt;=$C$5,L18,($C$29+(Assumptions!$I$18-$C$29)*MIN(MAX(L$9-$C$5,0)/Assumptions!$D$33,1))*L10)</f>
        <v>103.28061363200008</v>
      </c>
      <c r="M20" s="55">
        <f>IF(M$9&lt;=$C$5,M18,($C$29+(Assumptions!$I$18-$C$29)*MIN(MAX(M$9-$C$5,0)/Assumptions!$D$33,1))*M10)</f>
        <v>144.16123860992013</v>
      </c>
    </row>
    <row r="21" spans="2:13" ht="15" customHeight="1" x14ac:dyDescent="0.35">
      <c r="B21" s="51" t="s">
        <v>730</v>
      </c>
      <c r="C21" s="55">
        <f>Assumptions!$I$14/365*C10</f>
        <v>0</v>
      </c>
      <c r="D21" s="55">
        <f>Assumptions!$I$14/365*D10</f>
        <v>2.054794520547945</v>
      </c>
      <c r="E21" s="55">
        <f>Assumptions!$I$14/365*E10</f>
        <v>3.477333081043799</v>
      </c>
      <c r="F21" s="55">
        <f>Assumptions!$I$14/365*F10</f>
        <v>5.8846980735071597</v>
      </c>
      <c r="G21" s="55">
        <f>Assumptions!$I$14/365*G10</f>
        <v>9.9586869043744315</v>
      </c>
      <c r="H21" s="55">
        <f>Assumptions!$I$14/365*H10</f>
        <v>16.85310675595159</v>
      </c>
      <c r="I21" s="55">
        <f>Assumptions!$I$14/365*I10</f>
        <v>28.520547945205493</v>
      </c>
      <c r="J21" s="55">
        <f>Assumptions!$I$14/365*J10</f>
        <v>42.210410958904134</v>
      </c>
      <c r="K21" s="55">
        <f>Assumptions!$I$14/365*K10</f>
        <v>56.561950684931539</v>
      </c>
      <c r="L21" s="55">
        <f>Assumptions!$I$14/365*L10</f>
        <v>63.349384767123333</v>
      </c>
      <c r="M21" s="55">
        <f>Assumptions!$I$14/365*M10</f>
        <v>70.951310939178143</v>
      </c>
    </row>
    <row r="22" spans="2:13" ht="15" customHeight="1" x14ac:dyDescent="0.35">
      <c r="B22" s="51" t="s">
        <v>731</v>
      </c>
      <c r="C22" s="55">
        <f>C21</f>
        <v>0</v>
      </c>
      <c r="D22" s="55">
        <f t="shared" ref="D22:M22" si="4">D21-C21</f>
        <v>2.054794520547945</v>
      </c>
      <c r="E22" s="55">
        <f t="shared" si="4"/>
        <v>1.422538560495854</v>
      </c>
      <c r="F22" s="55">
        <f t="shared" si="4"/>
        <v>2.4073649924633607</v>
      </c>
      <c r="G22" s="55">
        <f t="shared" si="4"/>
        <v>4.0739888308672718</v>
      </c>
      <c r="H22" s="55">
        <f t="shared" si="4"/>
        <v>6.8944198515771582</v>
      </c>
      <c r="I22" s="55">
        <f t="shared" si="4"/>
        <v>11.667441189253903</v>
      </c>
      <c r="J22" s="55">
        <f t="shared" si="4"/>
        <v>13.689863013698641</v>
      </c>
      <c r="K22" s="55">
        <f t="shared" si="4"/>
        <v>14.351539726027404</v>
      </c>
      <c r="L22" s="55">
        <f t="shared" si="4"/>
        <v>6.787434082191794</v>
      </c>
      <c r="M22" s="55">
        <f t="shared" si="4"/>
        <v>7.6019261720548101</v>
      </c>
    </row>
    <row r="23" spans="2:13" ht="15" customHeight="1" x14ac:dyDescent="0.35">
      <c r="B23" s="51" t="s">
        <v>732</v>
      </c>
      <c r="C23" s="55">
        <f t="shared" ref="C23:M23" si="5">C20-C22</f>
        <v>-15</v>
      </c>
      <c r="D23" s="55">
        <f t="shared" si="5"/>
        <v>-31.304794520547944</v>
      </c>
      <c r="E23" s="55">
        <f t="shared" si="5"/>
        <v>-33.614822483121443</v>
      </c>
      <c r="F23" s="55">
        <f t="shared" si="5"/>
        <v>-29.197293989821791</v>
      </c>
      <c r="G23" s="55">
        <f t="shared" si="5"/>
        <v>-29.07398883086729</v>
      </c>
      <c r="H23" s="55">
        <f t="shared" si="5"/>
        <v>-26.768266546641897</v>
      </c>
      <c r="I23" s="55">
        <f t="shared" si="5"/>
        <v>-25.342441189253943</v>
      </c>
      <c r="J23" s="55">
        <f t="shared" si="5"/>
        <v>21.232216986301381</v>
      </c>
      <c r="K23" s="55">
        <f t="shared" si="5"/>
        <v>55.153670673972648</v>
      </c>
      <c r="L23" s="55">
        <f t="shared" si="5"/>
        <v>96.493179549808289</v>
      </c>
      <c r="M23" s="55">
        <f t="shared" si="5"/>
        <v>136.55931243786532</v>
      </c>
    </row>
    <row r="24" spans="2:13" ht="15" customHeight="1" x14ac:dyDescent="0.35">
      <c r="B24" s="51" t="s">
        <v>733</v>
      </c>
      <c r="C24" s="55">
        <f t="shared" ref="C24:M24" si="6">MAX(-C23,0)</f>
        <v>15</v>
      </c>
      <c r="D24" s="55">
        <f t="shared" si="6"/>
        <v>31.304794520547944</v>
      </c>
      <c r="E24" s="55">
        <f t="shared" si="6"/>
        <v>33.614822483121443</v>
      </c>
      <c r="F24" s="55">
        <f t="shared" si="6"/>
        <v>29.197293989821791</v>
      </c>
      <c r="G24" s="55">
        <f t="shared" si="6"/>
        <v>29.07398883086729</v>
      </c>
      <c r="H24" s="55">
        <f t="shared" si="6"/>
        <v>26.768266546641897</v>
      </c>
      <c r="I24" s="55">
        <f t="shared" si="6"/>
        <v>25.342441189253943</v>
      </c>
      <c r="J24" s="55">
        <f t="shared" si="6"/>
        <v>0</v>
      </c>
      <c r="K24" s="55">
        <f t="shared" si="6"/>
        <v>0</v>
      </c>
      <c r="L24" s="55">
        <f t="shared" si="6"/>
        <v>0</v>
      </c>
      <c r="M24" s="55">
        <f t="shared" si="6"/>
        <v>0</v>
      </c>
    </row>
    <row r="25" spans="2:13" ht="15" customHeight="1" x14ac:dyDescent="0.35">
      <c r="B25" s="51" t="s">
        <v>734</v>
      </c>
      <c r="C25" s="55">
        <f>C23</f>
        <v>-15</v>
      </c>
      <c r="D25" s="55">
        <f t="shared" ref="D25:M25" si="7">C25+D23</f>
        <v>-46.304794520547944</v>
      </c>
      <c r="E25" s="55">
        <f t="shared" si="7"/>
        <v>-79.919617003669387</v>
      </c>
      <c r="F25" s="55">
        <f t="shared" si="7"/>
        <v>-109.11691099349117</v>
      </c>
      <c r="G25" s="55">
        <f t="shared" si="7"/>
        <v>-138.19089982435847</v>
      </c>
      <c r="H25" s="55">
        <f t="shared" si="7"/>
        <v>-164.95916637100038</v>
      </c>
      <c r="I25" s="55">
        <f t="shared" si="7"/>
        <v>-190.30160756025433</v>
      </c>
      <c r="J25" s="55">
        <f t="shared" si="7"/>
        <v>-169.06939057395294</v>
      </c>
      <c r="K25" s="55">
        <f t="shared" si="7"/>
        <v>-113.9157198999803</v>
      </c>
      <c r="L25" s="55">
        <f t="shared" si="7"/>
        <v>-17.422540350172014</v>
      </c>
      <c r="M25" s="55">
        <f t="shared" si="7"/>
        <v>119.1367720876933</v>
      </c>
    </row>
    <row r="26" spans="2:13" ht="15" customHeight="1" x14ac:dyDescent="0.35">
      <c r="B26" s="51" t="s">
        <v>735</v>
      </c>
      <c r="C26" s="56">
        <f>(1+Assumptions!$I$15)^(-C$9)</f>
        <v>1</v>
      </c>
      <c r="D26" s="56">
        <f>(1+Assumptions!$I$15)^(-D$9)</f>
        <v>0.89847259658580414</v>
      </c>
      <c r="E26" s="56">
        <f>(1+Assumptions!$I$15)^(-E$9)</f>
        <v>0.80725300681563716</v>
      </c>
      <c r="F26" s="56">
        <f>(1+Assumptions!$I$15)^(-F$9)</f>
        <v>0.72529470513534333</v>
      </c>
      <c r="G26" s="56">
        <f>(1+Assumptions!$I$15)^(-G$9)</f>
        <v>0.65165741701288704</v>
      </c>
      <c r="H26" s="56">
        <f>(1+Assumptions!$I$15)^(-H$9)</f>
        <v>0.58549633154796688</v>
      </c>
      <c r="I26" s="56">
        <f>(1+Assumptions!$I$15)^(-I$9)</f>
        <v>0.52605240929736463</v>
      </c>
      <c r="J26" s="56">
        <f>(1+Assumptions!$I$15)^(-J$9)</f>
        <v>0.47264367412162139</v>
      </c>
      <c r="K26" s="56">
        <f>(1+Assumptions!$I$15)^(-K$9)</f>
        <v>0.42465738914790779</v>
      </c>
      <c r="L26" s="56">
        <f>(1+Assumptions!$I$15)^(-L$9)</f>
        <v>0.381543027087069</v>
      </c>
      <c r="M26" s="56">
        <f>(1+Assumptions!$I$15)^(-M$9)</f>
        <v>0.34280595425612664</v>
      </c>
    </row>
    <row r="27" spans="2:13" ht="15" customHeight="1" x14ac:dyDescent="0.35">
      <c r="B27" s="51" t="s">
        <v>736</v>
      </c>
      <c r="C27" s="55">
        <f>Assumptions!$I$19*(1+Assumptions!$I$16)^C$9</f>
        <v>690</v>
      </c>
      <c r="D27" s="55">
        <f>Assumptions!$I$19*(1+Assumptions!$I$16)^D$9</f>
        <v>772.80000000000007</v>
      </c>
      <c r="E27" s="55">
        <f>Assumptions!$I$19*(1+Assumptions!$I$16)^E$9</f>
        <v>865.53600000000017</v>
      </c>
      <c r="F27" s="55">
        <f>Assumptions!$I$19*(1+Assumptions!$I$16)^F$9</f>
        <v>969.40032000000031</v>
      </c>
      <c r="G27" s="55">
        <f>Assumptions!$I$19*(1+Assumptions!$I$16)^G$9</f>
        <v>1085.7283584000002</v>
      </c>
      <c r="H27" s="55">
        <f>Assumptions!$I$19*(1+Assumptions!$I$16)^H$9</f>
        <v>1216.0157614080003</v>
      </c>
      <c r="I27" s="55">
        <f>Assumptions!$I$19*(1+Assumptions!$I$16)^I$9</f>
        <v>1361.9376527769605</v>
      </c>
      <c r="J27" s="55">
        <f>Assumptions!$I$19*(1+Assumptions!$I$16)^J$9</f>
        <v>1525.3701711101958</v>
      </c>
      <c r="K27" s="55">
        <f>Assumptions!$I$19*(1+Assumptions!$I$16)^K$9</f>
        <v>1708.4145916434195</v>
      </c>
      <c r="L27" s="55">
        <f>Assumptions!$I$19*(1+Assumptions!$I$16)^L$9</f>
        <v>1913.4243426406299</v>
      </c>
      <c r="M27" s="55">
        <f>Assumptions!$I$19*(1+Assumptions!$I$16)^M$9</f>
        <v>2143.0352637575056</v>
      </c>
    </row>
    <row r="28" spans="2:13" ht="15" customHeight="1" x14ac:dyDescent="0.35">
      <c r="B28" s="51" t="s">
        <v>737</v>
      </c>
      <c r="C28" s="55">
        <f>(Assumptions!$D$30+(Assumptions!$I$18-Assumptions!$D$30)*MIN(C$9/Assumptions!$D$33,1))*C27</f>
        <v>24.150000000000002</v>
      </c>
      <c r="D28" s="55">
        <f>(Assumptions!$D$30+(Assumptions!$I$18-Assumptions!$D$30)*MIN(D$9/Assumptions!$D$33,1))*D27</f>
        <v>52.55040000000001</v>
      </c>
      <c r="E28" s="55">
        <f>(Assumptions!$D$30+(Assumptions!$I$18-Assumptions!$D$30)*MIN(E$9/Assumptions!$D$33,1))*E27</f>
        <v>87.419136000000023</v>
      </c>
      <c r="F28" s="55">
        <f>(Assumptions!$D$30+(Assumptions!$I$18-Assumptions!$D$30)*MIN(F$9/Assumptions!$D$33,1))*F27</f>
        <v>129.89964288000004</v>
      </c>
      <c r="G28" s="55">
        <f>(Assumptions!$D$30+(Assumptions!$I$18-Assumptions!$D$30)*MIN(G$9/Assumptions!$D$33,1))*G27</f>
        <v>181.31663585280003</v>
      </c>
      <c r="H28" s="55">
        <f>(Assumptions!$D$30+(Assumptions!$I$18-Assumptions!$D$30)*MIN(H$9/Assumptions!$D$33,1))*H27</f>
        <v>243.20315228160007</v>
      </c>
      <c r="I28" s="55">
        <f>(Assumptions!$D$30+(Assumptions!$I$18-Assumptions!$D$30)*MIN(I$9/Assumptions!$D$33,1))*I27</f>
        <v>272.38753055539212</v>
      </c>
      <c r="J28" s="55">
        <f>(Assumptions!$D$30+(Assumptions!$I$18-Assumptions!$D$30)*MIN(J$9/Assumptions!$D$33,1))*J27</f>
        <v>305.07403422203919</v>
      </c>
      <c r="K28" s="55">
        <f>(Assumptions!$D$30+(Assumptions!$I$18-Assumptions!$D$30)*MIN(K$9/Assumptions!$D$33,1))*K27</f>
        <v>341.68291832868391</v>
      </c>
      <c r="L28" s="55">
        <f>(Assumptions!$D$30+(Assumptions!$I$18-Assumptions!$D$30)*MIN(L$9/Assumptions!$D$33,1))*L27</f>
        <v>382.684868528126</v>
      </c>
      <c r="M28" s="55">
        <f>(Assumptions!$D$30+(Assumptions!$I$18-Assumptions!$D$30)*MIN(M$9/Assumptions!$D$33,1))*M27</f>
        <v>428.60705275150116</v>
      </c>
    </row>
    <row r="29" spans="2:13" ht="15" customHeight="1" x14ac:dyDescent="0.35">
      <c r="B29" s="51" t="s">
        <v>738</v>
      </c>
      <c r="C29" s="53">
        <f>MAX(Assumptions!$D$30,INDEX(C18:M18,$C$5+1)/INDEX(C10:M10,$C$5+1))</f>
        <v>3.5000000000000003E-2</v>
      </c>
    </row>
    <row r="31" spans="2:13" ht="15" customHeight="1" x14ac:dyDescent="0.35">
      <c r="B31" s="51" t="s">
        <v>739</v>
      </c>
      <c r="C31" s="57">
        <f>SUMPRODUCT($C$24:$M$24,$C$26:$M$26,($C$9:$M$9&lt;=$C$5)*1)</f>
        <v>139.38926385045846</v>
      </c>
    </row>
    <row r="32" spans="2:13" ht="15" customHeight="1" x14ac:dyDescent="0.35">
      <c r="B32" s="51" t="s">
        <v>740</v>
      </c>
      <c r="C32" s="57">
        <f>-MIN($C$25:$M$25)</f>
        <v>190.30160756025433</v>
      </c>
    </row>
    <row r="33" spans="2:3" ht="15" customHeight="1" x14ac:dyDescent="0.35">
      <c r="B33" s="51" t="s">
        <v>741</v>
      </c>
      <c r="C33" s="58">
        <f>Assumptions!$I$17</f>
        <v>0.11</v>
      </c>
    </row>
    <row r="34" spans="2:3" ht="15" customHeight="1" x14ac:dyDescent="0.35">
      <c r="B34" s="59" t="s">
        <v>742</v>
      </c>
      <c r="C34" s="60">
        <f>$C$31/$C$33</f>
        <v>1267.1751259132589</v>
      </c>
    </row>
    <row r="35" spans="2:3" ht="15" customHeight="1" x14ac:dyDescent="0.35">
      <c r="B35" s="51" t="s">
        <v>743</v>
      </c>
      <c r="C35" s="57">
        <f>SUMPRODUCT($C$28:$M$28-$C$20:$M$20*($C$9:$M$9&gt;$C$5),$C$26:$M$26,($C$9:$M$9&gt;=1)*1)</f>
        <v>1063.2233296759255</v>
      </c>
    </row>
    <row r="36" spans="2:3" ht="15" customHeight="1" x14ac:dyDescent="0.35">
      <c r="B36" s="51" t="s">
        <v>744</v>
      </c>
      <c r="C36" s="57">
        <f>$M$27-$M$10</f>
        <v>1279.794313997505</v>
      </c>
    </row>
    <row r="37" spans="2:3" ht="15" customHeight="1" x14ac:dyDescent="0.35">
      <c r="B37" s="51" t="s">
        <v>745</v>
      </c>
      <c r="C37" s="57">
        <f>$C$36*Assumptions!$I$18/(Assumptions!$I$15-Assumptions!$I$25)*$M$26</f>
        <v>1392.7654319412054</v>
      </c>
    </row>
    <row r="38" spans="2:3" ht="15" customHeight="1" x14ac:dyDescent="0.35">
      <c r="B38" s="59" t="s">
        <v>746</v>
      </c>
      <c r="C38" s="60">
        <f>$C$35+$C$37</f>
        <v>2455.9887616171309</v>
      </c>
    </row>
    <row r="39" spans="2:3" ht="15" customHeight="1" x14ac:dyDescent="0.35">
      <c r="B39" s="59" t="s">
        <v>747</v>
      </c>
      <c r="C39" s="60">
        <f>$C$34+$C$38</f>
        <v>3723.1638875303897</v>
      </c>
    </row>
    <row r="40" spans="2:3" ht="15" customHeight="1" x14ac:dyDescent="0.35">
      <c r="B40" s="51" t="s">
        <v>748</v>
      </c>
      <c r="C40" s="57">
        <f>Assumptions!$I$21+Assumptions!$I$23+Assumptions!$I$20-Assumptions!$I$22</f>
        <v>527</v>
      </c>
    </row>
    <row r="41" spans="2:3" ht="15" customHeight="1" x14ac:dyDescent="0.35">
      <c r="B41" s="51" t="s">
        <v>749</v>
      </c>
      <c r="C41" s="57">
        <f>Assumptions!$D$29+$C$40</f>
        <v>3233.45</v>
      </c>
    </row>
    <row r="42" spans="2:3" ht="15" customHeight="1" x14ac:dyDescent="0.35">
      <c r="B42" s="59" t="s">
        <v>750</v>
      </c>
      <c r="C42" s="60">
        <f>$C$39-$C$40</f>
        <v>3196.1638875303897</v>
      </c>
    </row>
    <row r="43" spans="2:3" ht="15" customHeight="1" x14ac:dyDescent="0.35">
      <c r="B43" s="51" t="s">
        <v>751</v>
      </c>
      <c r="C43" s="57">
        <f>$C$42-Assumptions!$D$29</f>
        <v>489.71388753038991</v>
      </c>
    </row>
    <row r="44" spans="2:3" ht="15" customHeight="1" x14ac:dyDescent="0.35">
      <c r="B44" s="51" t="s">
        <v>752</v>
      </c>
      <c r="C44" s="57">
        <f>SUMPRODUCT($C$24:$M$24,$C$26:$M$26,($C$9:$M$9&lt;=$C$7)*1)</f>
        <v>91.438809276633165</v>
      </c>
    </row>
    <row r="45" spans="2:3" ht="15" customHeight="1" x14ac:dyDescent="0.35">
      <c r="B45" s="51" t="s">
        <v>753</v>
      </c>
      <c r="C45" s="57">
        <f>$C$31+(1/$C$33-1)*$C$44</f>
        <v>879.21235708867243</v>
      </c>
    </row>
    <row r="46" spans="2:3" ht="15" customHeight="1" x14ac:dyDescent="0.35">
      <c r="B46" s="51" t="s">
        <v>754</v>
      </c>
      <c r="C46" s="57">
        <f>$C$45+$C$38-$C$40</f>
        <v>2808.2011187058033</v>
      </c>
    </row>
    <row r="47" spans="2:3" ht="15" customHeight="1" x14ac:dyDescent="0.35">
      <c r="B47" s="51" t="s">
        <v>755</v>
      </c>
      <c r="C47" s="57">
        <f>SUMPRODUCT($C$28:$M$28,$C$26:$M$26,($C$9:$M$9&gt;=1)*1)+$M$28*(1+Assumptions!$I$25)/(Assumptions!$I$15-Assumptions!$I$25)*$M$26</f>
        <v>3646.8877553117895</v>
      </c>
    </row>
    <row r="49" spans="1:13" ht="15" customHeight="1" x14ac:dyDescent="0.35">
      <c r="A49" s="49" t="s">
        <v>756</v>
      </c>
      <c r="B49" s="50"/>
      <c r="C49" s="50"/>
      <c r="D49" s="50"/>
      <c r="E49" s="50"/>
      <c r="F49" s="50"/>
      <c r="G49" s="50"/>
      <c r="H49" s="50"/>
      <c r="I49" s="50"/>
      <c r="J49" s="50"/>
      <c r="K49" s="50"/>
      <c r="L49" s="50"/>
      <c r="M49" s="50"/>
    </row>
    <row r="50" spans="1:13" ht="15" customHeight="1" x14ac:dyDescent="0.35">
      <c r="B50" s="51" t="s">
        <v>715</v>
      </c>
      <c r="C50" s="52">
        <f>ROUND(Assumptions!$H$2,0)</f>
        <v>4</v>
      </c>
    </row>
    <row r="51" spans="1:13" ht="15" customHeight="1" x14ac:dyDescent="0.35">
      <c r="B51" s="51" t="s">
        <v>716</v>
      </c>
      <c r="C51" s="53">
        <f>(Assumptions!$H$26/Assumptions!$H$3)^(1/($C$50-1))</f>
        <v>2.1482614908938507</v>
      </c>
    </row>
    <row r="52" spans="1:13" ht="15" customHeight="1" x14ac:dyDescent="0.35">
      <c r="B52" s="51" t="s">
        <v>717</v>
      </c>
      <c r="C52" s="52">
        <f>INT(Assumptions!$H$24)</f>
        <v>3</v>
      </c>
    </row>
    <row r="54" spans="1:13" ht="15" customHeight="1" x14ac:dyDescent="0.35">
      <c r="B54" s="54" t="s">
        <v>718</v>
      </c>
      <c r="C54" s="54">
        <v>0</v>
      </c>
      <c r="D54" s="54">
        <v>1</v>
      </c>
      <c r="E54" s="54">
        <v>2</v>
      </c>
      <c r="F54" s="54">
        <v>3</v>
      </c>
      <c r="G54" s="54">
        <v>4</v>
      </c>
      <c r="H54" s="54">
        <v>5</v>
      </c>
      <c r="I54" s="54">
        <v>6</v>
      </c>
      <c r="J54" s="54">
        <v>7</v>
      </c>
      <c r="K54" s="54">
        <v>8</v>
      </c>
      <c r="L54" s="54">
        <v>9</v>
      </c>
      <c r="M54" s="54">
        <v>10</v>
      </c>
    </row>
    <row r="55" spans="1:13" ht="15" customHeight="1" x14ac:dyDescent="0.35">
      <c r="B55" s="51" t="s">
        <v>719</v>
      </c>
      <c r="C55" s="55">
        <f>IF(C$54=0,0,IF(C$54&lt;=$C$50,Assumptions!$H$3*$C$51^(C$54-1),0))</f>
        <v>0</v>
      </c>
      <c r="D55" s="55">
        <f>IF(D$54=0,0,IF(D$54&lt;=$C$50,Assumptions!$H$3*$C$51^(D$54-1),C55*(1+IF(D$54-$C$50=1,Assumptions!$D$31,IF(D$54-$C$50=2,Assumptions!$D$32,Assumptions!$H$16)))))</f>
        <v>35</v>
      </c>
      <c r="E55" s="55">
        <f>IF(E$54=0,0,IF(E$54&lt;=$C$50,Assumptions!$H$3*$C$51^(E$54-1),D55*(1+IF(E$54-$C$50=1,Assumptions!$D$31,IF(E$54-$C$50=2,Assumptions!$D$32,Assumptions!$H$16)))))</f>
        <v>75.189152181284769</v>
      </c>
      <c r="F55" s="55">
        <f>IF(F$54=0,0,IF(F$54&lt;=$C$50,Assumptions!$H$3*$C$51^(F$54-1),E55*(1+IF(F$54-$C$50=1,Assumptions!$D$31,IF(F$54-$C$50=2,Assumptions!$D$32,Assumptions!$H$16)))))</f>
        <v>161.52596016401145</v>
      </c>
      <c r="G55" s="55">
        <f>IF(G$54=0,0,IF(G$54&lt;=$C$50,Assumptions!$H$3*$C$51^(G$54-1),F55*(1+IF(G$54-$C$50=1,Assumptions!$D$31,IF(G$54-$C$50=2,Assumptions!$D$32,Assumptions!$H$16)))))</f>
        <v>347</v>
      </c>
      <c r="H55" s="55">
        <f>IF(H$54=0,0,IF(H$54&lt;=$C$50,Assumptions!$H$3*$C$51^(H$54-1),G55*(1+IF(H$54-$C$50=1,Assumptions!$D$31,IF(H$54-$C$50=2,Assumptions!$D$32,Assumptions!$H$16)))))</f>
        <v>513.55999999999995</v>
      </c>
      <c r="I55" s="55">
        <f>IF(I$54=0,0,IF(I$54&lt;=$C$50,Assumptions!$H$3*$C$51^(I$54-1),H55*(1+IF(I$54-$C$50=1,Assumptions!$D$31,IF(I$54-$C$50=2,Assumptions!$D$32,Assumptions!$H$16)))))</f>
        <v>688.17039999999997</v>
      </c>
      <c r="J55" s="55">
        <f>IF(J$54=0,0,IF(J$54&lt;=$C$50,Assumptions!$H$3*$C$51^(J$54-1),I55*(1+IF(J$54-$C$50=1,Assumptions!$D$31,IF(J$54-$C$50=2,Assumptions!$D$32,Assumptions!$H$16)))))</f>
        <v>750.10573599999998</v>
      </c>
      <c r="K55" s="55">
        <f>IF(K$54=0,0,IF(K$54&lt;=$C$50,Assumptions!$H$3*$C$51^(K$54-1),J55*(1+IF(K$54-$C$50=1,Assumptions!$D$31,IF(K$54-$C$50=2,Assumptions!$D$32,Assumptions!$H$16)))))</f>
        <v>817.61525224000002</v>
      </c>
      <c r="L55" s="55">
        <f>IF(L$54=0,0,IF(L$54&lt;=$C$50,Assumptions!$H$3*$C$51^(L$54-1),K55*(1+IF(L$54-$C$50=1,Assumptions!$D$31,IF(L$54-$C$50=2,Assumptions!$D$32,Assumptions!$H$16)))))</f>
        <v>891.20062494160004</v>
      </c>
      <c r="M55" s="55">
        <f>IF(M$54=0,0,IF(M$54&lt;=$C$50,Assumptions!$H$3*$C$51^(M$54-1),L55*(1+IF(M$54-$C$50=1,Assumptions!$D$31,IF(M$54-$C$50=2,Assumptions!$D$32,Assumptions!$H$16)))))</f>
        <v>971.4086811863441</v>
      </c>
    </row>
    <row r="56" spans="1:13" ht="15" customHeight="1" x14ac:dyDescent="0.35">
      <c r="B56" s="51" t="s">
        <v>720</v>
      </c>
      <c r="C56" s="53">
        <f>IF(C$54=0,0,IF(C$54&lt;=$C$50,IF(C$54&lt;=2,Assumptions!$H$4,Assumptions!$H$4+(C$54-2)/MAX($C$50-2,1)*(Assumptions!$H$5-Assumptions!$H$4)),Assumptions!$H$5))</f>
        <v>0</v>
      </c>
      <c r="D56" s="53">
        <f>IF(D$54=0,0,IF(D$54&lt;=$C$50,IF(D$54&lt;=2,Assumptions!$H$4,Assumptions!$H$4+(D$54-2)/MAX($C$50-2,1)*(Assumptions!$H$5-Assumptions!$H$4)),Assumptions!$H$5))</f>
        <v>0.65</v>
      </c>
      <c r="E56" s="53">
        <f>IF(E$54=0,0,IF(E$54&lt;=$C$50,IF(E$54&lt;=2,Assumptions!$H$4,Assumptions!$H$4+(E$54-2)/MAX($C$50-2,1)*(Assumptions!$H$5-Assumptions!$H$4)),Assumptions!$H$5))</f>
        <v>0.65</v>
      </c>
      <c r="F56" s="53">
        <f>IF(F$54=0,0,IF(F$54&lt;=$C$50,IF(F$54&lt;=2,Assumptions!$H$4,Assumptions!$H$4+(F$54-2)/MAX($C$50-2,1)*(Assumptions!$H$5-Assumptions!$H$4)),Assumptions!$H$5))</f>
        <v>0.69</v>
      </c>
      <c r="G56" s="53">
        <f>IF(G$54=0,0,IF(G$54&lt;=$C$50,IF(G$54&lt;=2,Assumptions!$H$4,Assumptions!$H$4+(G$54-2)/MAX($C$50-2,1)*(Assumptions!$H$5-Assumptions!$H$4)),Assumptions!$H$5))</f>
        <v>0.73</v>
      </c>
      <c r="H56" s="53">
        <f>IF(H$54=0,0,IF(H$54&lt;=$C$50,IF(H$54&lt;=2,Assumptions!$H$4,Assumptions!$H$4+(H$54-2)/MAX($C$50-2,1)*(Assumptions!$H$5-Assumptions!$H$4)),Assumptions!$H$5))</f>
        <v>0.73</v>
      </c>
      <c r="I56" s="53">
        <f>IF(I$54=0,0,IF(I$54&lt;=$C$50,IF(I$54&lt;=2,Assumptions!$H$4,Assumptions!$H$4+(I$54-2)/MAX($C$50-2,1)*(Assumptions!$H$5-Assumptions!$H$4)),Assumptions!$H$5))</f>
        <v>0.73</v>
      </c>
      <c r="J56" s="53">
        <f>IF(J$54=0,0,IF(J$54&lt;=$C$50,IF(J$54&lt;=2,Assumptions!$H$4,Assumptions!$H$4+(J$54-2)/MAX($C$50-2,1)*(Assumptions!$H$5-Assumptions!$H$4)),Assumptions!$H$5))</f>
        <v>0.73</v>
      </c>
      <c r="K56" s="53">
        <f>IF(K$54=0,0,IF(K$54&lt;=$C$50,IF(K$54&lt;=2,Assumptions!$H$4,Assumptions!$H$4+(K$54-2)/MAX($C$50-2,1)*(Assumptions!$H$5-Assumptions!$H$4)),Assumptions!$H$5))</f>
        <v>0.73</v>
      </c>
      <c r="L56" s="53">
        <f>IF(L$54=0,0,IF(L$54&lt;=$C$50,IF(L$54&lt;=2,Assumptions!$H$4,Assumptions!$H$4+(L$54-2)/MAX($C$50-2,1)*(Assumptions!$H$5-Assumptions!$H$4)),Assumptions!$H$5))</f>
        <v>0.73</v>
      </c>
      <c r="M56" s="53">
        <f>IF(M$54=0,0,IF(M$54&lt;=$C$50,IF(M$54&lt;=2,Assumptions!$H$4,Assumptions!$H$4+(M$54-2)/MAX($C$50-2,1)*(Assumptions!$H$5-Assumptions!$H$4)),Assumptions!$H$5))</f>
        <v>0.73</v>
      </c>
    </row>
    <row r="57" spans="1:13" ht="15" customHeight="1" x14ac:dyDescent="0.35">
      <c r="B57" s="51" t="s">
        <v>721</v>
      </c>
      <c r="C57" s="53">
        <f>IF(C$54=0,0,IF(C$54&lt;=$C$50,IF(C$54&lt;=2,Assumptions!$H$6,Assumptions!$H$7),Assumptions!$H$8))</f>
        <v>0</v>
      </c>
      <c r="D57" s="53">
        <f>IF(D$54=0,0,IF(D$54&lt;=$C$50,IF(D$54&lt;=2,Assumptions!$H$6,Assumptions!$H$7),Assumptions!$H$8))</f>
        <v>0.4</v>
      </c>
      <c r="E57" s="53">
        <f>IF(E$54=0,0,IF(E$54&lt;=$C$50,IF(E$54&lt;=2,Assumptions!$H$6,Assumptions!$H$7),Assumptions!$H$8))</f>
        <v>0.4</v>
      </c>
      <c r="F57" s="53">
        <f>IF(F$54=0,0,IF(F$54&lt;=$C$50,IF(F$54&lt;=2,Assumptions!$H$6,Assumptions!$H$7),Assumptions!$H$8))</f>
        <v>0.33</v>
      </c>
      <c r="G57" s="53">
        <f>IF(G$54=0,0,IF(G$54&lt;=$C$50,IF(G$54&lt;=2,Assumptions!$H$6,Assumptions!$H$7),Assumptions!$H$8))</f>
        <v>0.33</v>
      </c>
      <c r="H57" s="53">
        <f>IF(H$54=0,0,IF(H$54&lt;=$C$50,IF(H$54&lt;=2,Assumptions!$H$6,Assumptions!$H$7),Assumptions!$H$8))</f>
        <v>0.25</v>
      </c>
      <c r="I57" s="53">
        <f>IF(I$54=0,0,IF(I$54&lt;=$C$50,IF(I$54&lt;=2,Assumptions!$H$6,Assumptions!$H$7),Assumptions!$H$8))</f>
        <v>0.25</v>
      </c>
      <c r="J57" s="53">
        <f>IF(J$54=0,0,IF(J$54&lt;=$C$50,IF(J$54&lt;=2,Assumptions!$H$6,Assumptions!$H$7),Assumptions!$H$8))</f>
        <v>0.25</v>
      </c>
      <c r="K57" s="53">
        <f>IF(K$54=0,0,IF(K$54&lt;=$C$50,IF(K$54&lt;=2,Assumptions!$H$6,Assumptions!$H$7),Assumptions!$H$8))</f>
        <v>0.25</v>
      </c>
      <c r="L57" s="53">
        <f>IF(L$54=0,0,IF(L$54&lt;=$C$50,IF(L$54&lt;=2,Assumptions!$H$6,Assumptions!$H$7),Assumptions!$H$8))</f>
        <v>0.25</v>
      </c>
      <c r="M57" s="53">
        <f>IF(M$54=0,0,IF(M$54&lt;=$C$50,IF(M$54&lt;=2,Assumptions!$H$6,Assumptions!$H$7),Assumptions!$H$8))</f>
        <v>0.25</v>
      </c>
    </row>
    <row r="58" spans="1:13" ht="15" customHeight="1" x14ac:dyDescent="0.35">
      <c r="B58" s="51" t="s">
        <v>722</v>
      </c>
      <c r="C58" s="55">
        <f t="shared" ref="C58:M58" si="8">C56*C55</f>
        <v>0</v>
      </c>
      <c r="D58" s="55">
        <f t="shared" si="8"/>
        <v>22.75</v>
      </c>
      <c r="E58" s="55">
        <f t="shared" si="8"/>
        <v>48.872948917835103</v>
      </c>
      <c r="F58" s="55">
        <f t="shared" si="8"/>
        <v>111.45291251316789</v>
      </c>
      <c r="G58" s="55">
        <f t="shared" si="8"/>
        <v>253.31</v>
      </c>
      <c r="H58" s="55">
        <f t="shared" si="8"/>
        <v>374.89879999999994</v>
      </c>
      <c r="I58" s="55">
        <f t="shared" si="8"/>
        <v>502.36439199999995</v>
      </c>
      <c r="J58" s="55">
        <f t="shared" si="8"/>
        <v>547.57718727999998</v>
      </c>
      <c r="K58" s="55">
        <f t="shared" si="8"/>
        <v>596.85913413519995</v>
      </c>
      <c r="L58" s="55">
        <f t="shared" si="8"/>
        <v>650.57645620736798</v>
      </c>
      <c r="M58" s="55">
        <f t="shared" si="8"/>
        <v>709.12833726603117</v>
      </c>
    </row>
    <row r="59" spans="1:13" ht="15" customHeight="1" x14ac:dyDescent="0.35">
      <c r="B59" s="51" t="s">
        <v>723</v>
      </c>
      <c r="C59" s="55">
        <f t="shared" ref="C59:M59" si="9">C57*C55</f>
        <v>0</v>
      </c>
      <c r="D59" s="55">
        <f t="shared" si="9"/>
        <v>14</v>
      </c>
      <c r="E59" s="55">
        <f t="shared" si="9"/>
        <v>30.075660872513907</v>
      </c>
      <c r="F59" s="55">
        <f t="shared" si="9"/>
        <v>53.30356685412378</v>
      </c>
      <c r="G59" s="55">
        <f t="shared" si="9"/>
        <v>114.51</v>
      </c>
      <c r="H59" s="55">
        <f t="shared" si="9"/>
        <v>128.38999999999999</v>
      </c>
      <c r="I59" s="55">
        <f t="shared" si="9"/>
        <v>172.04259999999999</v>
      </c>
      <c r="J59" s="55">
        <f t="shared" si="9"/>
        <v>187.52643399999999</v>
      </c>
      <c r="K59" s="55">
        <f t="shared" si="9"/>
        <v>204.40381306</v>
      </c>
      <c r="L59" s="55">
        <f t="shared" si="9"/>
        <v>222.80015623540001</v>
      </c>
      <c r="M59" s="55">
        <f t="shared" si="9"/>
        <v>242.85217029658602</v>
      </c>
    </row>
    <row r="60" spans="1:13" ht="15" customHeight="1" x14ac:dyDescent="0.35">
      <c r="B60" s="51" t="s">
        <v>724</v>
      </c>
      <c r="C60" s="55">
        <f>Assumptions!$H$12+Assumptions!$H$13*C55</f>
        <v>3</v>
      </c>
      <c r="D60" s="55">
        <f>Assumptions!$H$12+Assumptions!$H$13*D55</f>
        <v>3.35</v>
      </c>
      <c r="E60" s="55">
        <f>Assumptions!$H$12+Assumptions!$H$13*E55</f>
        <v>3.7518915218128477</v>
      </c>
      <c r="F60" s="55">
        <f>Assumptions!$H$12+Assumptions!$H$13*F55</f>
        <v>4.6152596016401146</v>
      </c>
      <c r="G60" s="55">
        <f>Assumptions!$H$12+Assumptions!$H$13*G55</f>
        <v>6.4700000000000006</v>
      </c>
      <c r="H60" s="55">
        <f>Assumptions!$H$12+Assumptions!$H$13*H55</f>
        <v>8.1356000000000002</v>
      </c>
      <c r="I60" s="55">
        <f>Assumptions!$H$12+Assumptions!$H$13*I55</f>
        <v>9.8817039999999992</v>
      </c>
      <c r="J60" s="55">
        <f>Assumptions!$H$12+Assumptions!$H$13*J55</f>
        <v>10.501057360000001</v>
      </c>
      <c r="K60" s="55">
        <f>Assumptions!$H$12+Assumptions!$H$13*K55</f>
        <v>11.176152522400001</v>
      </c>
      <c r="L60" s="55">
        <f>Assumptions!$H$12+Assumptions!$H$13*L55</f>
        <v>11.912006249416001</v>
      </c>
      <c r="M60" s="55">
        <f>Assumptions!$H$12+Assumptions!$H$13*M55</f>
        <v>12.71408681186344</v>
      </c>
    </row>
    <row r="61" spans="1:13" ht="15" customHeight="1" x14ac:dyDescent="0.35">
      <c r="B61" s="51" t="s">
        <v>725</v>
      </c>
      <c r="C61" s="55">
        <f>IF(C$54=0,0.5*Assumptions!$H$10,MAX(Assumptions!$H$10,Assumptions!$H$11*C55))</f>
        <v>6</v>
      </c>
      <c r="D61" s="55">
        <f>IF(D$54=0,0.5*Assumptions!$H$10,MAX(Assumptions!$H$10,Assumptions!$H$11*D55))</f>
        <v>12</v>
      </c>
      <c r="E61" s="55">
        <f>IF(E$54=0,0.5*Assumptions!$H$10,MAX(Assumptions!$H$10,Assumptions!$H$11*E55))</f>
        <v>12</v>
      </c>
      <c r="F61" s="55">
        <f>IF(F$54=0,0.5*Assumptions!$H$10,MAX(Assumptions!$H$10,Assumptions!$H$11*F55))</f>
        <v>12</v>
      </c>
      <c r="G61" s="55">
        <f>IF(G$54=0,0.5*Assumptions!$H$10,MAX(Assumptions!$H$10,Assumptions!$H$11*G55))</f>
        <v>20.82</v>
      </c>
      <c r="H61" s="55">
        <f>IF(H$54=0,0.5*Assumptions!$H$10,MAX(Assumptions!$H$10,Assumptions!$H$11*H55))</f>
        <v>30.813599999999994</v>
      </c>
      <c r="I61" s="55">
        <f>IF(I$54=0,0.5*Assumptions!$H$10,MAX(Assumptions!$H$10,Assumptions!$H$11*I55))</f>
        <v>41.290223999999995</v>
      </c>
      <c r="J61" s="55">
        <f>IF(J$54=0,0.5*Assumptions!$H$10,MAX(Assumptions!$H$10,Assumptions!$H$11*J55))</f>
        <v>45.006344159999998</v>
      </c>
      <c r="K61" s="55">
        <f>IF(K$54=0,0.5*Assumptions!$H$10,MAX(Assumptions!$H$10,Assumptions!$H$11*K55))</f>
        <v>49.056915134400001</v>
      </c>
      <c r="L61" s="55">
        <f>IF(L$54=0,0.5*Assumptions!$H$10,MAX(Assumptions!$H$10,Assumptions!$H$11*L55))</f>
        <v>53.472037496496</v>
      </c>
      <c r="M61" s="55">
        <f>IF(M$54=0,0.5*Assumptions!$H$10,MAX(Assumptions!$H$10,Assumptions!$H$11*M55))</f>
        <v>58.284520871180646</v>
      </c>
    </row>
    <row r="62" spans="1:13" ht="15" customHeight="1" x14ac:dyDescent="0.35">
      <c r="B62" s="51" t="s">
        <v>726</v>
      </c>
      <c r="C62" s="55">
        <f>IF(C$54=0,0,Assumptions!$H$9*C55)</f>
        <v>0</v>
      </c>
      <c r="D62" s="55">
        <f>IF(D$54=0,0,Assumptions!$H$9*D55)</f>
        <v>7</v>
      </c>
      <c r="E62" s="55">
        <f>IF(E$54=0,0,Assumptions!$H$9*E55)</f>
        <v>15.037830436256954</v>
      </c>
      <c r="F62" s="55">
        <f>IF(F$54=0,0,Assumptions!$H$9*F55)</f>
        <v>32.305192032802289</v>
      </c>
      <c r="G62" s="55">
        <f>IF(G$54=0,0,Assumptions!$H$9*G55)</f>
        <v>69.400000000000006</v>
      </c>
      <c r="H62" s="55">
        <f>IF(H$54=0,0,Assumptions!$H$9*H55)</f>
        <v>102.71199999999999</v>
      </c>
      <c r="I62" s="55">
        <f>IF(I$54=0,0,Assumptions!$H$9*I55)</f>
        <v>137.63408000000001</v>
      </c>
      <c r="J62" s="55">
        <f>IF(J$54=0,0,Assumptions!$H$9*J55)</f>
        <v>150.0211472</v>
      </c>
      <c r="K62" s="55">
        <f>IF(K$54=0,0,Assumptions!$H$9*K55)</f>
        <v>163.52305044800002</v>
      </c>
      <c r="L62" s="55">
        <f>IF(L$54=0,0,Assumptions!$H$9*L55)</f>
        <v>178.24012498832002</v>
      </c>
      <c r="M62" s="55">
        <f>IF(M$54=0,0,Assumptions!$H$9*M55)</f>
        <v>194.28173623726883</v>
      </c>
    </row>
    <row r="63" spans="1:13" ht="15" customHeight="1" x14ac:dyDescent="0.35">
      <c r="B63" s="51" t="s">
        <v>727</v>
      </c>
      <c r="C63" s="55">
        <f t="shared" ref="C63:M63" si="10">C58-C59-C62-C61-C60</f>
        <v>-9</v>
      </c>
      <c r="D63" s="55">
        <f t="shared" si="10"/>
        <v>-13.6</v>
      </c>
      <c r="E63" s="55">
        <f t="shared" si="10"/>
        <v>-11.992433912748606</v>
      </c>
      <c r="F63" s="55">
        <f t="shared" si="10"/>
        <v>9.2288940246017042</v>
      </c>
      <c r="G63" s="55">
        <f t="shared" si="10"/>
        <v>42.110000000000007</v>
      </c>
      <c r="H63" s="55">
        <f t="shared" si="10"/>
        <v>104.84759999999997</v>
      </c>
      <c r="I63" s="55">
        <f t="shared" si="10"/>
        <v>141.51578399999994</v>
      </c>
      <c r="J63" s="55">
        <f t="shared" si="10"/>
        <v>154.52220455999998</v>
      </c>
      <c r="K63" s="55">
        <f t="shared" si="10"/>
        <v>168.69920297039994</v>
      </c>
      <c r="L63" s="55">
        <f t="shared" si="10"/>
        <v>184.15213123773597</v>
      </c>
      <c r="M63" s="55">
        <f t="shared" si="10"/>
        <v>200.99582304913227</v>
      </c>
    </row>
    <row r="64" spans="1:13" ht="15" customHeight="1" x14ac:dyDescent="0.35">
      <c r="B64" s="51" t="s">
        <v>728</v>
      </c>
      <c r="C64" s="55">
        <f t="shared" ref="C64:M64" si="11">IF(C$54&lt;=$C$50,C62,C58-C59-C61-C60-C65)</f>
        <v>0</v>
      </c>
      <c r="D64" s="55">
        <f t="shared" si="11"/>
        <v>7</v>
      </c>
      <c r="E64" s="55">
        <f t="shared" si="11"/>
        <v>15.037830436256954</v>
      </c>
      <c r="F64" s="55">
        <f t="shared" si="11"/>
        <v>32.305192032802289</v>
      </c>
      <c r="G64" s="55">
        <f t="shared" si="11"/>
        <v>69.400000000000006</v>
      </c>
      <c r="H64" s="55">
        <f t="shared" si="11"/>
        <v>142.29455999999993</v>
      </c>
      <c r="I64" s="55">
        <f t="shared" si="11"/>
        <v>187.75210879999997</v>
      </c>
      <c r="J64" s="55">
        <f t="shared" si="11"/>
        <v>200.62236284799997</v>
      </c>
      <c r="K64" s="55">
        <f t="shared" si="11"/>
        <v>214.26417054335994</v>
      </c>
      <c r="L64" s="55">
        <f t="shared" si="11"/>
        <v>228.71216248481602</v>
      </c>
      <c r="M64" s="55">
        <f t="shared" si="11"/>
        <v>249.56625710844946</v>
      </c>
    </row>
    <row r="65" spans="2:13" ht="15" customHeight="1" x14ac:dyDescent="0.35">
      <c r="B65" s="51" t="s">
        <v>729</v>
      </c>
      <c r="C65" s="55">
        <f>IF(C$54&lt;=$C$50,C63,($C$74+(Assumptions!$H$18-$C$74)*MIN(MAX(C$54-$C$50,0)/Assumptions!$D$33,1))*C55)</f>
        <v>-9</v>
      </c>
      <c r="D65" s="55">
        <f>IF(D$54&lt;=$C$50,D63,($C$74+(Assumptions!$H$18-$C$74)*MIN(MAX(D$54-$C$50,0)/Assumptions!$D$33,1))*D55)</f>
        <v>-13.6</v>
      </c>
      <c r="E65" s="55">
        <f>IF(E$54&lt;=$C$50,E63,($C$74+(Assumptions!$H$18-$C$74)*MIN(MAX(E$54-$C$50,0)/Assumptions!$D$33,1))*E55)</f>
        <v>-11.992433912748606</v>
      </c>
      <c r="F65" s="55">
        <f>IF(F$54&lt;=$C$50,F63,($C$74+(Assumptions!$H$18-$C$74)*MIN(MAX(F$54-$C$50,0)/Assumptions!$D$33,1))*F55)</f>
        <v>9.2288940246017042</v>
      </c>
      <c r="G65" s="55">
        <f>IF(G$54&lt;=$C$50,G63,($C$74+(Assumptions!$H$18-$C$74)*MIN(MAX(G$54-$C$50,0)/Assumptions!$D$33,1))*G55)</f>
        <v>42.110000000000007</v>
      </c>
      <c r="H65" s="55">
        <f>IF(H$54&lt;=$C$50,H63,($C$74+(Assumptions!$H$18-$C$74)*MIN(MAX(H$54-$C$50,0)/Assumptions!$D$33,1))*H55)</f>
        <v>65.265039999999999</v>
      </c>
      <c r="I65" s="55">
        <f>IF(I$54&lt;=$C$50,I63,($C$74+(Assumptions!$H$18-$C$74)*MIN(MAX(I$54-$C$50,0)/Assumptions!$D$33,1))*I55)</f>
        <v>91.397755200000006</v>
      </c>
      <c r="J65" s="55">
        <f>IF(J$54&lt;=$C$50,J63,($C$74+(Assumptions!$H$18-$C$74)*MIN(MAX(J$54-$C$50,0)/Assumptions!$D$33,1))*J55)</f>
        <v>103.920988912</v>
      </c>
      <c r="K65" s="55">
        <f>IF(K$54&lt;=$C$50,K63,($C$74+(Assumptions!$H$18-$C$74)*MIN(MAX(K$54-$C$50,0)/Assumptions!$D$33,1))*K55)</f>
        <v>117.95808287503999</v>
      </c>
      <c r="L65" s="55">
        <f>IF(L$54&lt;=$C$50,L63,($C$74+(Assumptions!$H$18-$C$74)*MIN(MAX(L$54-$C$50,0)/Assumptions!$D$33,1))*L55)</f>
        <v>133.68009374124</v>
      </c>
      <c r="M65" s="55">
        <f>IF(M$54&lt;=$C$50,M63,($C$74+(Assumptions!$H$18-$C$74)*MIN(MAX(M$54-$C$50,0)/Assumptions!$D$33,1))*M55)</f>
        <v>145.71130217795161</v>
      </c>
    </row>
    <row r="66" spans="2:13" ht="15" customHeight="1" x14ac:dyDescent="0.35">
      <c r="B66" s="51" t="s">
        <v>730</v>
      </c>
      <c r="C66" s="55">
        <f>Assumptions!$H$14/365*C55</f>
        <v>0</v>
      </c>
      <c r="D66" s="55">
        <f>Assumptions!$H$14/365*D55</f>
        <v>-1.2465753424657533</v>
      </c>
      <c r="E66" s="55">
        <f>Assumptions!$H$14/365*E55</f>
        <v>-2.6779698037169917</v>
      </c>
      <c r="F66" s="55">
        <f>Assumptions!$H$14/365*F55</f>
        <v>-5.7529794031017776</v>
      </c>
      <c r="G66" s="55">
        <f>Assumptions!$H$14/365*G55</f>
        <v>-12.358904109589041</v>
      </c>
      <c r="H66" s="55">
        <f>Assumptions!$H$14/365*H55</f>
        <v>-18.291178082191777</v>
      </c>
      <c r="I66" s="55">
        <f>Assumptions!$H$14/365*I55</f>
        <v>-24.510178630136984</v>
      </c>
      <c r="J66" s="55">
        <f>Assumptions!$H$14/365*J55</f>
        <v>-26.716094706849315</v>
      </c>
      <c r="K66" s="55">
        <f>Assumptions!$H$14/365*K55</f>
        <v>-29.120543230465753</v>
      </c>
      <c r="L66" s="55">
        <f>Assumptions!$H$14/365*L55</f>
        <v>-31.741392121207671</v>
      </c>
      <c r="M66" s="55">
        <f>Assumptions!$H$14/365*M55</f>
        <v>-34.598117412116366</v>
      </c>
    </row>
    <row r="67" spans="2:13" ht="15" customHeight="1" x14ac:dyDescent="0.35">
      <c r="B67" s="51" t="s">
        <v>731</v>
      </c>
      <c r="C67" s="55">
        <f>C66</f>
        <v>0</v>
      </c>
      <c r="D67" s="55">
        <f t="shared" ref="D67:M67" si="12">D66-C66</f>
        <v>-1.2465753424657533</v>
      </c>
      <c r="E67" s="55">
        <f t="shared" si="12"/>
        <v>-1.4313944612512384</v>
      </c>
      <c r="F67" s="55">
        <f t="shared" si="12"/>
        <v>-3.0750095993847859</v>
      </c>
      <c r="G67" s="55">
        <f t="shared" si="12"/>
        <v>-6.6059247064872633</v>
      </c>
      <c r="H67" s="55">
        <f t="shared" si="12"/>
        <v>-5.9322739726027365</v>
      </c>
      <c r="I67" s="55">
        <f t="shared" si="12"/>
        <v>-6.2190005479452068</v>
      </c>
      <c r="J67" s="55">
        <f t="shared" si="12"/>
        <v>-2.2059160767123309</v>
      </c>
      <c r="K67" s="55">
        <f t="shared" si="12"/>
        <v>-2.4044485236164377</v>
      </c>
      <c r="L67" s="55">
        <f t="shared" si="12"/>
        <v>-2.6208488907419181</v>
      </c>
      <c r="M67" s="55">
        <f t="shared" si="12"/>
        <v>-2.8567252909086953</v>
      </c>
    </row>
    <row r="68" spans="2:13" ht="15" customHeight="1" x14ac:dyDescent="0.35">
      <c r="B68" s="51" t="s">
        <v>732</v>
      </c>
      <c r="C68" s="55">
        <f t="shared" ref="C68:M68" si="13">C65-C67</f>
        <v>-9</v>
      </c>
      <c r="D68" s="55">
        <f t="shared" si="13"/>
        <v>-12.353424657534246</v>
      </c>
      <c r="E68" s="55">
        <f t="shared" si="13"/>
        <v>-10.561039451497367</v>
      </c>
      <c r="F68" s="55">
        <f t="shared" si="13"/>
        <v>12.303903623986489</v>
      </c>
      <c r="G68" s="55">
        <f t="shared" si="13"/>
        <v>48.715924706487272</v>
      </c>
      <c r="H68" s="55">
        <f t="shared" si="13"/>
        <v>71.197313972602728</v>
      </c>
      <c r="I68" s="55">
        <f t="shared" si="13"/>
        <v>97.616755747945206</v>
      </c>
      <c r="J68" s="55">
        <f t="shared" si="13"/>
        <v>106.12690498871233</v>
      </c>
      <c r="K68" s="55">
        <f t="shared" si="13"/>
        <v>120.36253139865643</v>
      </c>
      <c r="L68" s="55">
        <f t="shared" si="13"/>
        <v>136.30094263198191</v>
      </c>
      <c r="M68" s="55">
        <f t="shared" si="13"/>
        <v>148.56802746886029</v>
      </c>
    </row>
    <row r="69" spans="2:13" ht="15" customHeight="1" x14ac:dyDescent="0.35">
      <c r="B69" s="51" t="s">
        <v>733</v>
      </c>
      <c r="C69" s="55">
        <f t="shared" ref="C69:M69" si="14">MAX(-C68,0)</f>
        <v>9</v>
      </c>
      <c r="D69" s="55">
        <f t="shared" si="14"/>
        <v>12.353424657534246</v>
      </c>
      <c r="E69" s="55">
        <f t="shared" si="14"/>
        <v>10.561039451497367</v>
      </c>
      <c r="F69" s="55">
        <f t="shared" si="14"/>
        <v>0</v>
      </c>
      <c r="G69" s="55">
        <f t="shared" si="14"/>
        <v>0</v>
      </c>
      <c r="H69" s="55">
        <f t="shared" si="14"/>
        <v>0</v>
      </c>
      <c r="I69" s="55">
        <f t="shared" si="14"/>
        <v>0</v>
      </c>
      <c r="J69" s="55">
        <f t="shared" si="14"/>
        <v>0</v>
      </c>
      <c r="K69" s="55">
        <f t="shared" si="14"/>
        <v>0</v>
      </c>
      <c r="L69" s="55">
        <f t="shared" si="14"/>
        <v>0</v>
      </c>
      <c r="M69" s="55">
        <f t="shared" si="14"/>
        <v>0</v>
      </c>
    </row>
    <row r="70" spans="2:13" ht="15" customHeight="1" x14ac:dyDescent="0.35">
      <c r="B70" s="51" t="s">
        <v>734</v>
      </c>
      <c r="C70" s="55">
        <f>C68</f>
        <v>-9</v>
      </c>
      <c r="D70" s="55">
        <f t="shared" ref="D70:M70" si="15">C70+D68</f>
        <v>-21.353424657534248</v>
      </c>
      <c r="E70" s="55">
        <f t="shared" si="15"/>
        <v>-31.914464109031613</v>
      </c>
      <c r="F70" s="55">
        <f t="shared" si="15"/>
        <v>-19.610560485045124</v>
      </c>
      <c r="G70" s="55">
        <f t="shared" si="15"/>
        <v>29.105364221442148</v>
      </c>
      <c r="H70" s="55">
        <f t="shared" si="15"/>
        <v>100.30267819404487</v>
      </c>
      <c r="I70" s="55">
        <f t="shared" si="15"/>
        <v>197.91943394199006</v>
      </c>
      <c r="J70" s="55">
        <f t="shared" si="15"/>
        <v>304.0463389307024</v>
      </c>
      <c r="K70" s="55">
        <f t="shared" si="15"/>
        <v>424.40887032935882</v>
      </c>
      <c r="L70" s="55">
        <f t="shared" si="15"/>
        <v>560.70981296134073</v>
      </c>
      <c r="M70" s="55">
        <f t="shared" si="15"/>
        <v>709.27784043020097</v>
      </c>
    </row>
    <row r="71" spans="2:13" ht="15" customHeight="1" x14ac:dyDescent="0.35">
      <c r="B71" s="51" t="s">
        <v>735</v>
      </c>
      <c r="C71" s="56">
        <f>(1+Assumptions!$H$15)^(-C$54)</f>
        <v>1</v>
      </c>
      <c r="D71" s="56">
        <f>(1+Assumptions!$H$15)^(-D$54)</f>
        <v>0.89847259658580414</v>
      </c>
      <c r="E71" s="56">
        <f>(1+Assumptions!$H$15)^(-E$54)</f>
        <v>0.80725300681563716</v>
      </c>
      <c r="F71" s="56">
        <f>(1+Assumptions!$H$15)^(-F$54)</f>
        <v>0.72529470513534333</v>
      </c>
      <c r="G71" s="56">
        <f>(1+Assumptions!$H$15)^(-G$54)</f>
        <v>0.65165741701288704</v>
      </c>
      <c r="H71" s="56">
        <f>(1+Assumptions!$H$15)^(-H$54)</f>
        <v>0.58549633154796688</v>
      </c>
      <c r="I71" s="56">
        <f>(1+Assumptions!$H$15)^(-I$54)</f>
        <v>0.52605240929736463</v>
      </c>
      <c r="J71" s="56">
        <f>(1+Assumptions!$H$15)^(-J$54)</f>
        <v>0.47264367412162139</v>
      </c>
      <c r="K71" s="56">
        <f>(1+Assumptions!$H$15)^(-K$54)</f>
        <v>0.42465738914790779</v>
      </c>
      <c r="L71" s="56">
        <f>(1+Assumptions!$H$15)^(-L$54)</f>
        <v>0.381543027087069</v>
      </c>
      <c r="M71" s="56">
        <f>(1+Assumptions!$H$15)^(-M$54)</f>
        <v>0.34280595425612664</v>
      </c>
    </row>
    <row r="72" spans="2:13" ht="15" customHeight="1" x14ac:dyDescent="0.35">
      <c r="B72" s="51" t="s">
        <v>736</v>
      </c>
      <c r="C72" s="55">
        <f>Assumptions!$H$19*(1+Assumptions!$H$16)^C$54</f>
        <v>652</v>
      </c>
      <c r="D72" s="55">
        <f>Assumptions!$H$19*(1+Assumptions!$H$16)^D$54</f>
        <v>710.68000000000006</v>
      </c>
      <c r="E72" s="55">
        <f>Assumptions!$H$19*(1+Assumptions!$H$16)^E$54</f>
        <v>774.64120000000014</v>
      </c>
      <c r="F72" s="55">
        <f>Assumptions!$H$19*(1+Assumptions!$H$16)^F$54</f>
        <v>844.35890800000016</v>
      </c>
      <c r="G72" s="55">
        <f>Assumptions!$H$19*(1+Assumptions!$H$16)^G$54</f>
        <v>920.35120972000016</v>
      </c>
      <c r="H72" s="55">
        <f>Assumptions!$H$19*(1+Assumptions!$H$16)^H$54</f>
        <v>1003.1828185948003</v>
      </c>
      <c r="I72" s="55">
        <f>Assumptions!$H$19*(1+Assumptions!$H$16)^I$54</f>
        <v>1093.4692722683324</v>
      </c>
      <c r="J72" s="55">
        <f>Assumptions!$H$19*(1+Assumptions!$H$16)^J$54</f>
        <v>1191.8815067724822</v>
      </c>
      <c r="K72" s="55">
        <f>Assumptions!$H$19*(1+Assumptions!$H$16)^K$54</f>
        <v>1299.1508423820057</v>
      </c>
      <c r="L72" s="55">
        <f>Assumptions!$H$19*(1+Assumptions!$H$16)^L$54</f>
        <v>1416.0744181963864</v>
      </c>
      <c r="M72" s="55">
        <f>Assumptions!$H$19*(1+Assumptions!$H$16)^M$54</f>
        <v>1543.5211158340614</v>
      </c>
    </row>
    <row r="73" spans="2:13" ht="15" customHeight="1" x14ac:dyDescent="0.35">
      <c r="B73" s="51" t="s">
        <v>737</v>
      </c>
      <c r="C73" s="55">
        <f>(Assumptions!$D$30+(Assumptions!$H$18-Assumptions!$D$30)*MIN(C$54/Assumptions!$D$33,1))*C72</f>
        <v>22.820000000000004</v>
      </c>
      <c r="D73" s="55">
        <f>(Assumptions!$D$30+(Assumptions!$H$18-Assumptions!$D$30)*MIN(D$54/Assumptions!$D$33,1))*D72</f>
        <v>41.219440000000006</v>
      </c>
      <c r="E73" s="55">
        <f>(Assumptions!$D$30+(Assumptions!$H$18-Assumptions!$D$30)*MIN(E$54/Assumptions!$D$33,1))*E72</f>
        <v>62.745937200000014</v>
      </c>
      <c r="F73" s="55">
        <f>(Assumptions!$D$30+(Assumptions!$H$18-Assumptions!$D$30)*MIN(F$54/Assumptions!$D$33,1))*F72</f>
        <v>87.813326432000011</v>
      </c>
      <c r="G73" s="55">
        <f>(Assumptions!$D$30+(Assumptions!$H$18-Assumptions!$D$30)*MIN(G$54/Assumptions!$D$33,1))*G72</f>
        <v>116.88460363444003</v>
      </c>
      <c r="H73" s="55">
        <f>(Assumptions!$D$30+(Assumptions!$H$18-Assumptions!$D$30)*MIN(H$54/Assumptions!$D$33,1))*H72</f>
        <v>150.47742278922004</v>
      </c>
      <c r="I73" s="55">
        <f>(Assumptions!$D$30+(Assumptions!$H$18-Assumptions!$D$30)*MIN(I$54/Assumptions!$D$33,1))*I72</f>
        <v>164.02039084024986</v>
      </c>
      <c r="J73" s="55">
        <f>(Assumptions!$D$30+(Assumptions!$H$18-Assumptions!$D$30)*MIN(J$54/Assumptions!$D$33,1))*J72</f>
        <v>178.78222601587234</v>
      </c>
      <c r="K73" s="55">
        <f>(Assumptions!$D$30+(Assumptions!$H$18-Assumptions!$D$30)*MIN(K$54/Assumptions!$D$33,1))*K72</f>
        <v>194.87262635730085</v>
      </c>
      <c r="L73" s="55">
        <f>(Assumptions!$D$30+(Assumptions!$H$18-Assumptions!$D$30)*MIN(L$54/Assumptions!$D$33,1))*L72</f>
        <v>212.41116272945797</v>
      </c>
      <c r="M73" s="55">
        <f>(Assumptions!$D$30+(Assumptions!$H$18-Assumptions!$D$30)*MIN(M$54/Assumptions!$D$33,1))*M72</f>
        <v>231.52816737510921</v>
      </c>
    </row>
    <row r="74" spans="2:13" ht="15" customHeight="1" x14ac:dyDescent="0.35">
      <c r="B74" s="51" t="s">
        <v>738</v>
      </c>
      <c r="C74" s="53">
        <f>MAX(Assumptions!$D$30,INDEX(C63:M63,$C$50+1)/INDEX(C55:M55,$C$50+1))</f>
        <v>0.12135446685878964</v>
      </c>
    </row>
    <row r="76" spans="2:13" ht="15" customHeight="1" x14ac:dyDescent="0.35">
      <c r="B76" s="51" t="s">
        <v>739</v>
      </c>
      <c r="C76" s="57">
        <f>SUMPRODUCT($C$69:$M$69,$C$71:$M$71,($C$54:$M$54&lt;=$C$50)*1)</f>
        <v>28.62464438110171</v>
      </c>
    </row>
    <row r="77" spans="2:13" ht="15" customHeight="1" x14ac:dyDescent="0.35">
      <c r="B77" s="51" t="s">
        <v>740</v>
      </c>
      <c r="C77" s="57">
        <f>-MIN($C$70:$M$70)</f>
        <v>31.914464109031613</v>
      </c>
    </row>
    <row r="78" spans="2:13" ht="15" customHeight="1" x14ac:dyDescent="0.35">
      <c r="B78" s="51" t="s">
        <v>741</v>
      </c>
      <c r="C78" s="58">
        <f>Assumptions!$H$17</f>
        <v>0.28999999999999998</v>
      </c>
    </row>
    <row r="79" spans="2:13" ht="15" customHeight="1" x14ac:dyDescent="0.35">
      <c r="B79" s="59" t="s">
        <v>742</v>
      </c>
      <c r="C79" s="60">
        <f>$C$76/$C$78</f>
        <v>98.705670279661078</v>
      </c>
    </row>
    <row r="80" spans="2:13" ht="15" customHeight="1" x14ac:dyDescent="0.35">
      <c r="B80" s="51" t="s">
        <v>743</v>
      </c>
      <c r="C80" s="57">
        <f>SUMPRODUCT($C$73:$M$73-$C$65:$M$65*($C$54:$M$54&gt;$C$50),$C$71:$M$71,($C$54:$M$54&gt;=1)*1)</f>
        <v>443.14333545434147</v>
      </c>
    </row>
    <row r="81" spans="1:13" ht="15" customHeight="1" x14ac:dyDescent="0.35">
      <c r="B81" s="51" t="s">
        <v>744</v>
      </c>
      <c r="C81" s="57">
        <f>$M$72-$M$55</f>
        <v>572.11243464771735</v>
      </c>
    </row>
    <row r="82" spans="1:13" ht="15" customHeight="1" x14ac:dyDescent="0.35">
      <c r="B82" s="51" t="s">
        <v>745</v>
      </c>
      <c r="C82" s="57">
        <f>$C$81*Assumptions!$H$18/(Assumptions!$H$15-Assumptions!$H$25)*$M$71</f>
        <v>466.96083119334912</v>
      </c>
    </row>
    <row r="83" spans="1:13" ht="15" customHeight="1" x14ac:dyDescent="0.35">
      <c r="B83" s="59" t="s">
        <v>746</v>
      </c>
      <c r="C83" s="60">
        <f>$C$80+$C$82</f>
        <v>910.10416664769059</v>
      </c>
    </row>
    <row r="84" spans="1:13" ht="15" customHeight="1" x14ac:dyDescent="0.35">
      <c r="B84" s="59" t="s">
        <v>747</v>
      </c>
      <c r="C84" s="60">
        <f>$C$79+$C$83</f>
        <v>1008.8098369273516</v>
      </c>
    </row>
    <row r="85" spans="1:13" ht="15" customHeight="1" x14ac:dyDescent="0.35">
      <c r="B85" s="51" t="s">
        <v>748</v>
      </c>
      <c r="C85" s="57">
        <f>Assumptions!$H$21+Assumptions!$H$23+Assumptions!$H$20-Assumptions!$H$22</f>
        <v>726</v>
      </c>
    </row>
    <row r="86" spans="1:13" ht="15" customHeight="1" x14ac:dyDescent="0.35">
      <c r="B86" s="51" t="s">
        <v>749</v>
      </c>
      <c r="C86" s="57">
        <f>Assumptions!$D$29+$C$85</f>
        <v>3432.45</v>
      </c>
    </row>
    <row r="87" spans="1:13" ht="15" customHeight="1" x14ac:dyDescent="0.35">
      <c r="B87" s="59" t="s">
        <v>750</v>
      </c>
      <c r="C87" s="60">
        <f>$C$84-$C$85</f>
        <v>282.80983692735163</v>
      </c>
    </row>
    <row r="88" spans="1:13" ht="15" customHeight="1" x14ac:dyDescent="0.35">
      <c r="B88" s="51" t="s">
        <v>751</v>
      </c>
      <c r="C88" s="57">
        <f>$C$87-Assumptions!$D$29</f>
        <v>-2423.6401630726482</v>
      </c>
    </row>
    <row r="89" spans="1:13" ht="15" customHeight="1" x14ac:dyDescent="0.35">
      <c r="B89" s="51" t="s">
        <v>752</v>
      </c>
      <c r="C89" s="57">
        <f>SUMPRODUCT($C$69:$M$69,$C$71:$M$71,($C$54:$M$54&lt;=$C$52)*1)</f>
        <v>28.62464438110171</v>
      </c>
    </row>
    <row r="90" spans="1:13" ht="15" customHeight="1" x14ac:dyDescent="0.35">
      <c r="B90" s="51" t="s">
        <v>753</v>
      </c>
      <c r="C90" s="57">
        <f>$C$76+(1/$C$78-1)*$C$89</f>
        <v>98.705670279661064</v>
      </c>
    </row>
    <row r="91" spans="1:13" ht="15" customHeight="1" x14ac:dyDescent="0.35">
      <c r="B91" s="51" t="s">
        <v>754</v>
      </c>
      <c r="C91" s="57">
        <f>$C$90+$C$83-$C$85</f>
        <v>282.80983692735163</v>
      </c>
    </row>
    <row r="92" spans="1:13" ht="15" customHeight="1" x14ac:dyDescent="0.35">
      <c r="B92" s="51" t="s">
        <v>755</v>
      </c>
      <c r="C92" s="57">
        <f>SUMPRODUCT($C$73:$M$73,$C$71:$M$71,($C$54:$M$54&gt;=1)*1)+$M$73*(1+Assumptions!$H$25)/(Assumptions!$H$15-Assumptions!$H$25)*$M$71</f>
        <v>2052.4211379866038</v>
      </c>
    </row>
    <row r="94" spans="1:13" ht="15" customHeight="1" x14ac:dyDescent="0.35">
      <c r="A94" s="49" t="s">
        <v>757</v>
      </c>
      <c r="B94" s="50"/>
      <c r="C94" s="50"/>
      <c r="D94" s="50"/>
      <c r="E94" s="50"/>
      <c r="F94" s="50"/>
      <c r="G94" s="50"/>
      <c r="H94" s="50"/>
      <c r="I94" s="50"/>
      <c r="J94" s="50"/>
      <c r="K94" s="50"/>
      <c r="L94" s="50"/>
      <c r="M94" s="50"/>
    </row>
    <row r="95" spans="1:13" ht="15" customHeight="1" x14ac:dyDescent="0.35">
      <c r="B95" s="51" t="s">
        <v>715</v>
      </c>
      <c r="C95" s="52">
        <f>ROUND(Assumptions!$J$2,0)</f>
        <v>8</v>
      </c>
    </row>
    <row r="96" spans="1:13" ht="15" customHeight="1" x14ac:dyDescent="0.35">
      <c r="B96" s="51" t="s">
        <v>716</v>
      </c>
      <c r="C96" s="53">
        <f>(Assumptions!$J$26/Assumptions!$J$3)^(1/($C$95-1))</f>
        <v>1.5663585198797185</v>
      </c>
    </row>
    <row r="97" spans="2:13" ht="15" customHeight="1" x14ac:dyDescent="0.35">
      <c r="B97" s="51" t="s">
        <v>717</v>
      </c>
      <c r="C97" s="52">
        <f>INT(Assumptions!$J$24)</f>
        <v>3</v>
      </c>
    </row>
    <row r="99" spans="2:13" ht="15" customHeight="1" x14ac:dyDescent="0.35">
      <c r="B99" s="54" t="s">
        <v>718</v>
      </c>
      <c r="C99" s="54">
        <v>0</v>
      </c>
      <c r="D99" s="54">
        <v>1</v>
      </c>
      <c r="E99" s="54">
        <v>2</v>
      </c>
      <c r="F99" s="54">
        <v>3</v>
      </c>
      <c r="G99" s="54">
        <v>4</v>
      </c>
      <c r="H99" s="54">
        <v>5</v>
      </c>
      <c r="I99" s="54">
        <v>6</v>
      </c>
      <c r="J99" s="54">
        <v>7</v>
      </c>
      <c r="K99" s="54">
        <v>8</v>
      </c>
      <c r="L99" s="54">
        <v>9</v>
      </c>
      <c r="M99" s="54">
        <v>10</v>
      </c>
    </row>
    <row r="100" spans="2:13" ht="15" customHeight="1" x14ac:dyDescent="0.35">
      <c r="B100" s="51" t="s">
        <v>719</v>
      </c>
      <c r="C100" s="55">
        <f>IF(C$99=0,0,IF(C$99&lt;=$C$95,Assumptions!$J$3*$C$96^(C$99-1),0))</f>
        <v>0</v>
      </c>
      <c r="D100" s="55">
        <f>IF(D$99=0,0,IF(D$99&lt;=$C$95,Assumptions!$J$3*$C$96^(D$99-1),C100*(1+IF(D$99-$C$95=1,Assumptions!$D$31,IF(D$99-$C$95=2,Assumptions!$D$32,Assumptions!$J$16)))))</f>
        <v>15</v>
      </c>
      <c r="E100" s="55">
        <f>IF(E$99=0,0,IF(E$99&lt;=$C$95,Assumptions!$J$3*$C$96^(E$99-1),D100*(1+IF(E$99-$C$95=1,Assumptions!$D$31,IF(E$99-$C$95=2,Assumptions!$D$32,Assumptions!$J$16)))))</f>
        <v>23.495377798195779</v>
      </c>
      <c r="F100" s="55">
        <f>IF(F$99=0,0,IF(F$99&lt;=$C$95,Assumptions!$J$3*$C$96^(F$99-1),E100*(1+IF(F$99-$C$95=1,Assumptions!$D$31,IF(F$99-$C$95=2,Assumptions!$D$32,Assumptions!$J$16)))))</f>
        <v>36.802185191996742</v>
      </c>
      <c r="G100" s="55">
        <f>IF(G$99=0,0,IF(G$99&lt;=$C$95,Assumptions!$J$3*$C$96^(G$99-1),F100*(1+IF(G$99-$C$95=1,Assumptions!$D$31,IF(G$99-$C$95=2,Assumptions!$D$32,Assumptions!$J$16)))))</f>
        <v>57.645416325675306</v>
      </c>
      <c r="H100" s="55">
        <f>IF(H$99=0,0,IF(H$99&lt;=$C$95,Assumptions!$J$3*$C$96^(H$99-1),G100*(1+IF(H$99-$C$95=1,Assumptions!$D$31,IF(H$99-$C$95=2,Assumptions!$D$32,Assumptions!$J$16)))))</f>
        <v>90.293388993734951</v>
      </c>
      <c r="I100" s="55">
        <f>IF(I$99=0,0,IF(I$99&lt;=$C$95,Assumptions!$J$3*$C$96^(I$99-1),H100*(1+IF(I$99-$C$95=1,Assumptions!$D$31,IF(I$99-$C$95=2,Assumptions!$D$32,Assumptions!$J$16)))))</f>
        <v>141.43181913915032</v>
      </c>
      <c r="J100" s="55">
        <f>IF(J$99=0,0,IF(J$99&lt;=$C$95,Assumptions!$J$3*$C$96^(J$99-1),I100*(1+IF(J$99-$C$95=1,Assumptions!$D$31,IF(J$99-$C$95=2,Assumptions!$D$32,Assumptions!$J$16)))))</f>
        <v>221.5329348906956</v>
      </c>
      <c r="K100" s="55">
        <f>IF(K$99=0,0,IF(K$99&lt;=$C$95,Assumptions!$J$3*$C$96^(K$99-1),J100*(1+IF(K$99-$C$95=1,Assumptions!$D$31,IF(K$99-$C$95=2,Assumptions!$D$32,Assumptions!$J$16)))))</f>
        <v>346.99999999999994</v>
      </c>
      <c r="L100" s="55">
        <f>IF(L$99=0,0,IF(L$99&lt;=$C$95,Assumptions!$J$3*$C$96^(L$99-1),K100*(1+IF(L$99-$C$95=1,Assumptions!$D$31,IF(L$99-$C$95=2,Assumptions!$D$32,Assumptions!$J$16)))))</f>
        <v>513.55999999999995</v>
      </c>
      <c r="M100" s="55">
        <f>IF(M$99=0,0,IF(M$99&lt;=$C$95,Assumptions!$J$3*$C$96^(M$99-1),L100*(1+IF(M$99-$C$95=1,Assumptions!$D$31,IF(M$99-$C$95=2,Assumptions!$D$32,Assumptions!$J$16)))))</f>
        <v>688.17039999999997</v>
      </c>
    </row>
    <row r="101" spans="2:13" ht="15" customHeight="1" x14ac:dyDescent="0.35">
      <c r="B101" s="51" t="s">
        <v>720</v>
      </c>
      <c r="C101" s="53">
        <f>IF(C$99=0,0,IF(C$99&lt;=$C$95,IF(C$99&lt;=2,Assumptions!$J$4,Assumptions!$J$4+(C$99-2)/MAX($C$95-2,1)*(Assumptions!$J$5-Assumptions!$J$4)),Assumptions!$J$5))</f>
        <v>0</v>
      </c>
      <c r="D101" s="53">
        <f>IF(D$99=0,0,IF(D$99&lt;=$C$95,IF(D$99&lt;=2,Assumptions!$J$4,Assumptions!$J$4+(D$99-2)/MAX($C$95-2,1)*(Assumptions!$J$5-Assumptions!$J$4)),Assumptions!$J$5))</f>
        <v>0.55000000000000004</v>
      </c>
      <c r="E101" s="53">
        <f>IF(E$99=0,0,IF(E$99&lt;=$C$95,IF(E$99&lt;=2,Assumptions!$J$4,Assumptions!$J$4+(E$99-2)/MAX($C$95-2,1)*(Assumptions!$J$5-Assumptions!$J$4)),Assumptions!$J$5))</f>
        <v>0.55000000000000004</v>
      </c>
      <c r="F101" s="53">
        <f>IF(F$99=0,0,IF(F$99&lt;=$C$95,IF(F$99&lt;=2,Assumptions!$J$4,Assumptions!$J$4+(F$99-2)/MAX($C$95-2,1)*(Assumptions!$J$5-Assumptions!$J$4)),Assumptions!$J$5))</f>
        <v>0.56166666666666676</v>
      </c>
      <c r="G101" s="53">
        <f>IF(G$99=0,0,IF(G$99&lt;=$C$95,IF(G$99&lt;=2,Assumptions!$J$4,Assumptions!$J$4+(G$99-2)/MAX($C$95-2,1)*(Assumptions!$J$5-Assumptions!$J$4)),Assumptions!$J$5))</f>
        <v>0.57333333333333336</v>
      </c>
      <c r="H101" s="53">
        <f>IF(H$99=0,0,IF(H$99&lt;=$C$95,IF(H$99&lt;=2,Assumptions!$J$4,Assumptions!$J$4+(H$99-2)/MAX($C$95-2,1)*(Assumptions!$J$5-Assumptions!$J$4)),Assumptions!$J$5))</f>
        <v>0.58499999999999996</v>
      </c>
      <c r="I101" s="53">
        <f>IF(I$99=0,0,IF(I$99&lt;=$C$95,IF(I$99&lt;=2,Assumptions!$J$4,Assumptions!$J$4+(I$99-2)/MAX($C$95-2,1)*(Assumptions!$J$5-Assumptions!$J$4)),Assumptions!$J$5))</f>
        <v>0.59666666666666668</v>
      </c>
      <c r="J101" s="53">
        <f>IF(J$99=0,0,IF(J$99&lt;=$C$95,IF(J$99&lt;=2,Assumptions!$J$4,Assumptions!$J$4+(J$99-2)/MAX($C$95-2,1)*(Assumptions!$J$5-Assumptions!$J$4)),Assumptions!$J$5))</f>
        <v>0.60833333333333339</v>
      </c>
      <c r="K101" s="53">
        <f>IF(K$99=0,0,IF(K$99&lt;=$C$95,IF(K$99&lt;=2,Assumptions!$J$4,Assumptions!$J$4+(K$99-2)/MAX($C$95-2,1)*(Assumptions!$J$5-Assumptions!$J$4)),Assumptions!$J$5))</f>
        <v>0.62</v>
      </c>
      <c r="L101" s="53">
        <f>IF(L$99=0,0,IF(L$99&lt;=$C$95,IF(L$99&lt;=2,Assumptions!$J$4,Assumptions!$J$4+(L$99-2)/MAX($C$95-2,1)*(Assumptions!$J$5-Assumptions!$J$4)),Assumptions!$J$5))</f>
        <v>0.62</v>
      </c>
      <c r="M101" s="53">
        <f>IF(M$99=0,0,IF(M$99&lt;=$C$95,IF(M$99&lt;=2,Assumptions!$J$4,Assumptions!$J$4+(M$99-2)/MAX($C$95-2,1)*(Assumptions!$J$5-Assumptions!$J$4)),Assumptions!$J$5))</f>
        <v>0.62</v>
      </c>
    </row>
    <row r="102" spans="2:13" ht="15" customHeight="1" x14ac:dyDescent="0.35">
      <c r="B102" s="51" t="s">
        <v>721</v>
      </c>
      <c r="C102" s="53">
        <f>IF(C$99=0,0,IF(C$99&lt;=$C$95,IF(C$99&lt;=2,Assumptions!$J$6,Assumptions!$J$7),Assumptions!$J$8))</f>
        <v>0</v>
      </c>
      <c r="D102" s="53">
        <f>IF(D$99=0,0,IF(D$99&lt;=$C$95,IF(D$99&lt;=2,Assumptions!$J$6,Assumptions!$J$7),Assumptions!$J$8))</f>
        <v>0.6</v>
      </c>
      <c r="E102" s="53">
        <f>IF(E$99=0,0,IF(E$99&lt;=$C$95,IF(E$99&lt;=2,Assumptions!$J$6,Assumptions!$J$7),Assumptions!$J$8))</f>
        <v>0.6</v>
      </c>
      <c r="F102" s="53">
        <f>IF(F$99=0,0,IF(F$99&lt;=$C$95,IF(F$99&lt;=2,Assumptions!$J$6,Assumptions!$J$7),Assumptions!$J$8))</f>
        <v>0.45</v>
      </c>
      <c r="G102" s="53">
        <f>IF(G$99=0,0,IF(G$99&lt;=$C$95,IF(G$99&lt;=2,Assumptions!$J$6,Assumptions!$J$7),Assumptions!$J$8))</f>
        <v>0.45</v>
      </c>
      <c r="H102" s="53">
        <f>IF(H$99=0,0,IF(H$99&lt;=$C$95,IF(H$99&lt;=2,Assumptions!$J$6,Assumptions!$J$7),Assumptions!$J$8))</f>
        <v>0.45</v>
      </c>
      <c r="I102" s="53">
        <f>IF(I$99=0,0,IF(I$99&lt;=$C$95,IF(I$99&lt;=2,Assumptions!$J$6,Assumptions!$J$7),Assumptions!$J$8))</f>
        <v>0.45</v>
      </c>
      <c r="J102" s="53">
        <f>IF(J$99=0,0,IF(J$99&lt;=$C$95,IF(J$99&lt;=2,Assumptions!$J$6,Assumptions!$J$7),Assumptions!$J$8))</f>
        <v>0.45</v>
      </c>
      <c r="K102" s="53">
        <f>IF(K$99=0,0,IF(K$99&lt;=$C$95,IF(K$99&lt;=2,Assumptions!$J$6,Assumptions!$J$7),Assumptions!$J$8))</f>
        <v>0.45</v>
      </c>
      <c r="L102" s="53">
        <f>IF(L$99=0,0,IF(L$99&lt;=$C$95,IF(L$99&lt;=2,Assumptions!$J$6,Assumptions!$J$7),Assumptions!$J$8))</f>
        <v>0.34</v>
      </c>
      <c r="M102" s="53">
        <f>IF(M$99=0,0,IF(M$99&lt;=$C$95,IF(M$99&lt;=2,Assumptions!$J$6,Assumptions!$J$7),Assumptions!$J$8))</f>
        <v>0.34</v>
      </c>
    </row>
    <row r="103" spans="2:13" ht="15" customHeight="1" x14ac:dyDescent="0.35">
      <c r="B103" s="51" t="s">
        <v>722</v>
      </c>
      <c r="C103" s="55">
        <f t="shared" ref="C103:M103" si="16">C101*C100</f>
        <v>0</v>
      </c>
      <c r="D103" s="55">
        <f t="shared" si="16"/>
        <v>8.25</v>
      </c>
      <c r="E103" s="55">
        <f t="shared" si="16"/>
        <v>12.92245778900768</v>
      </c>
      <c r="F103" s="55">
        <f t="shared" si="16"/>
        <v>20.670560682838172</v>
      </c>
      <c r="G103" s="55">
        <f t="shared" si="16"/>
        <v>33.050038693387179</v>
      </c>
      <c r="H103" s="55">
        <f t="shared" si="16"/>
        <v>52.821632561334944</v>
      </c>
      <c r="I103" s="55">
        <f t="shared" si="16"/>
        <v>84.387652086359694</v>
      </c>
      <c r="J103" s="55">
        <f t="shared" si="16"/>
        <v>134.76586872517316</v>
      </c>
      <c r="K103" s="55">
        <f t="shared" si="16"/>
        <v>215.13999999999996</v>
      </c>
      <c r="L103" s="55">
        <f t="shared" si="16"/>
        <v>318.40719999999999</v>
      </c>
      <c r="M103" s="55">
        <f t="shared" si="16"/>
        <v>426.66564799999998</v>
      </c>
    </row>
    <row r="104" spans="2:13" ht="15" customHeight="1" x14ac:dyDescent="0.35">
      <c r="B104" s="51" t="s">
        <v>723</v>
      </c>
      <c r="C104" s="55">
        <f t="shared" ref="C104:M104" si="17">C102*C100</f>
        <v>0</v>
      </c>
      <c r="D104" s="55">
        <f t="shared" si="17"/>
        <v>9</v>
      </c>
      <c r="E104" s="55">
        <f t="shared" si="17"/>
        <v>14.097226678917467</v>
      </c>
      <c r="F104" s="55">
        <f t="shared" si="17"/>
        <v>16.560983336398536</v>
      </c>
      <c r="G104" s="55">
        <f t="shared" si="17"/>
        <v>25.940437346553889</v>
      </c>
      <c r="H104" s="55">
        <f t="shared" si="17"/>
        <v>40.632025047180726</v>
      </c>
      <c r="I104" s="55">
        <f t="shared" si="17"/>
        <v>63.644318612617646</v>
      </c>
      <c r="J104" s="55">
        <f t="shared" si="17"/>
        <v>99.689820700813016</v>
      </c>
      <c r="K104" s="55">
        <f t="shared" si="17"/>
        <v>156.14999999999998</v>
      </c>
      <c r="L104" s="55">
        <f t="shared" si="17"/>
        <v>174.6104</v>
      </c>
      <c r="M104" s="55">
        <f t="shared" si="17"/>
        <v>233.977936</v>
      </c>
    </row>
    <row r="105" spans="2:13" ht="15" customHeight="1" x14ac:dyDescent="0.35">
      <c r="B105" s="51" t="s">
        <v>724</v>
      </c>
      <c r="C105" s="55">
        <f>Assumptions!$J$12+Assumptions!$J$13*C100</f>
        <v>8</v>
      </c>
      <c r="D105" s="55">
        <f>Assumptions!$J$12+Assumptions!$J$13*D100</f>
        <v>8.4499999999999993</v>
      </c>
      <c r="E105" s="55">
        <f>Assumptions!$J$12+Assumptions!$J$13*E100</f>
        <v>8.7048613339458729</v>
      </c>
      <c r="F105" s="55">
        <f>Assumptions!$J$12+Assumptions!$J$13*F100</f>
        <v>9.1040655557599024</v>
      </c>
      <c r="G105" s="55">
        <f>Assumptions!$J$12+Assumptions!$J$13*G100</f>
        <v>9.72936248977026</v>
      </c>
      <c r="H105" s="55">
        <f>Assumptions!$J$12+Assumptions!$J$13*H100</f>
        <v>10.708801669812049</v>
      </c>
      <c r="I105" s="55">
        <f>Assumptions!$J$12+Assumptions!$J$13*I100</f>
        <v>12.24295457417451</v>
      </c>
      <c r="J105" s="55">
        <f>Assumptions!$J$12+Assumptions!$J$13*J100</f>
        <v>14.645988046720868</v>
      </c>
      <c r="K105" s="55">
        <f>Assumptions!$J$12+Assumptions!$J$13*K100</f>
        <v>18.409999999999997</v>
      </c>
      <c r="L105" s="55">
        <f>Assumptions!$J$12+Assumptions!$J$13*L100</f>
        <v>23.406799999999997</v>
      </c>
      <c r="M105" s="55">
        <f>Assumptions!$J$12+Assumptions!$J$13*M100</f>
        <v>28.645111999999997</v>
      </c>
    </row>
    <row r="106" spans="2:13" ht="15" customHeight="1" x14ac:dyDescent="0.35">
      <c r="B106" s="51" t="s">
        <v>725</v>
      </c>
      <c r="C106" s="55">
        <f>IF(C$99=0,0.5*Assumptions!$J$10,MAX(Assumptions!$J$10,Assumptions!$J$11*C100))</f>
        <v>15</v>
      </c>
      <c r="D106" s="55">
        <f>IF(D$99=0,0.5*Assumptions!$J$10,MAX(Assumptions!$J$10,Assumptions!$J$11*D100))</f>
        <v>30</v>
      </c>
      <c r="E106" s="55">
        <f>IF(E$99=0,0.5*Assumptions!$J$10,MAX(Assumptions!$J$10,Assumptions!$J$11*E100))</f>
        <v>30</v>
      </c>
      <c r="F106" s="55">
        <f>IF(F$99=0,0.5*Assumptions!$J$10,MAX(Assumptions!$J$10,Assumptions!$J$11*F100))</f>
        <v>30</v>
      </c>
      <c r="G106" s="55">
        <f>IF(G$99=0,0.5*Assumptions!$J$10,MAX(Assumptions!$J$10,Assumptions!$J$11*G100))</f>
        <v>30</v>
      </c>
      <c r="H106" s="55">
        <f>IF(H$99=0,0.5*Assumptions!$J$10,MAX(Assumptions!$J$10,Assumptions!$J$11*H100))</f>
        <v>30</v>
      </c>
      <c r="I106" s="55">
        <f>IF(I$99=0,0.5*Assumptions!$J$10,MAX(Assumptions!$J$10,Assumptions!$J$11*I100))</f>
        <v>30</v>
      </c>
      <c r="J106" s="55">
        <f>IF(J$99=0,0.5*Assumptions!$J$10,MAX(Assumptions!$J$10,Assumptions!$J$11*J100))</f>
        <v>30</v>
      </c>
      <c r="K106" s="55">
        <f>IF(K$99=0,0.5*Assumptions!$J$10,MAX(Assumptions!$J$10,Assumptions!$J$11*K100))</f>
        <v>31.229999999999993</v>
      </c>
      <c r="L106" s="55">
        <f>IF(L$99=0,0.5*Assumptions!$J$10,MAX(Assumptions!$J$10,Assumptions!$J$11*L100))</f>
        <v>46.220399999999991</v>
      </c>
      <c r="M106" s="55">
        <f>IF(M$99=0,0.5*Assumptions!$J$10,MAX(Assumptions!$J$10,Assumptions!$J$11*M100))</f>
        <v>61.935335999999992</v>
      </c>
    </row>
    <row r="107" spans="2:13" ht="15" customHeight="1" x14ac:dyDescent="0.35">
      <c r="B107" s="51" t="s">
        <v>726</v>
      </c>
      <c r="C107" s="55">
        <f>IF(C$99=0,0,Assumptions!$J$9*C100)</f>
        <v>0</v>
      </c>
      <c r="D107" s="55">
        <f>IF(D$99=0,0,Assumptions!$J$9*D100)</f>
        <v>4.8</v>
      </c>
      <c r="E107" s="55">
        <f>IF(E$99=0,0,Assumptions!$J$9*E100)</f>
        <v>7.5185208954226495</v>
      </c>
      <c r="F107" s="55">
        <f>IF(F$99=0,0,Assumptions!$J$9*F100)</f>
        <v>11.776699261438958</v>
      </c>
      <c r="G107" s="55">
        <f>IF(G$99=0,0,Assumptions!$J$9*G100)</f>
        <v>18.446533224216097</v>
      </c>
      <c r="H107" s="55">
        <f>IF(H$99=0,0,Assumptions!$J$9*H100)</f>
        <v>28.893884477995186</v>
      </c>
      <c r="I107" s="55">
        <f>IF(I$99=0,0,Assumptions!$J$9*I100)</f>
        <v>45.258182124528105</v>
      </c>
      <c r="J107" s="55">
        <f>IF(J$99=0,0,Assumptions!$J$9*J100)</f>
        <v>70.890539165022588</v>
      </c>
      <c r="K107" s="55">
        <f>IF(K$99=0,0,Assumptions!$J$9*K100)</f>
        <v>111.03999999999998</v>
      </c>
      <c r="L107" s="55">
        <f>IF(L$99=0,0,Assumptions!$J$9*L100)</f>
        <v>164.33919999999998</v>
      </c>
      <c r="M107" s="55">
        <f>IF(M$99=0,0,Assumptions!$J$9*M100)</f>
        <v>220.214528</v>
      </c>
    </row>
    <row r="108" spans="2:13" ht="15" customHeight="1" x14ac:dyDescent="0.35">
      <c r="B108" s="51" t="s">
        <v>727</v>
      </c>
      <c r="C108" s="55">
        <f t="shared" ref="C108:M108" si="18">C103-C104-C107-C106-C105</f>
        <v>-23</v>
      </c>
      <c r="D108" s="55">
        <f t="shared" si="18"/>
        <v>-44</v>
      </c>
      <c r="E108" s="55">
        <f t="shared" si="18"/>
        <v>-47.39815111927831</v>
      </c>
      <c r="F108" s="55">
        <f t="shared" si="18"/>
        <v>-46.771187470759223</v>
      </c>
      <c r="G108" s="55">
        <f t="shared" si="18"/>
        <v>-51.06629436715307</v>
      </c>
      <c r="H108" s="55">
        <f t="shared" si="18"/>
        <v>-57.413078633653015</v>
      </c>
      <c r="I108" s="55">
        <f t="shared" si="18"/>
        <v>-66.757803224960568</v>
      </c>
      <c r="J108" s="55">
        <f t="shared" si="18"/>
        <v>-80.460479187383314</v>
      </c>
      <c r="K108" s="55">
        <f t="shared" si="18"/>
        <v>-101.68999999999998</v>
      </c>
      <c r="L108" s="55">
        <f t="shared" si="18"/>
        <v>-90.169599999999974</v>
      </c>
      <c r="M108" s="55">
        <f t="shared" si="18"/>
        <v>-118.10726400000001</v>
      </c>
    </row>
    <row r="109" spans="2:13" ht="15" customHeight="1" x14ac:dyDescent="0.35">
      <c r="B109" s="51" t="s">
        <v>728</v>
      </c>
      <c r="C109" s="55">
        <f t="shared" ref="C109:M109" si="19">IF(C$99&lt;=$C$95,C107,C103-C104-C106-C105-C110)</f>
        <v>0</v>
      </c>
      <c r="D109" s="55">
        <f t="shared" si="19"/>
        <v>4.8</v>
      </c>
      <c r="E109" s="55">
        <f t="shared" si="19"/>
        <v>7.5185208954226495</v>
      </c>
      <c r="F109" s="55">
        <f t="shared" si="19"/>
        <v>11.776699261438958</v>
      </c>
      <c r="G109" s="55">
        <f t="shared" si="19"/>
        <v>18.446533224216097</v>
      </c>
      <c r="H109" s="55">
        <f t="shared" si="19"/>
        <v>28.893884477995186</v>
      </c>
      <c r="I109" s="55">
        <f t="shared" si="19"/>
        <v>45.258182124528105</v>
      </c>
      <c r="J109" s="55">
        <f t="shared" si="19"/>
        <v>70.890539165022588</v>
      </c>
      <c r="K109" s="55">
        <f t="shared" si="19"/>
        <v>111.03999999999998</v>
      </c>
      <c r="L109" s="55">
        <f t="shared" si="19"/>
        <v>28.770896000000008</v>
      </c>
      <c r="M109" s="55">
        <f t="shared" si="19"/>
        <v>4.5247012799999737</v>
      </c>
    </row>
    <row r="110" spans="2:13" ht="15" customHeight="1" x14ac:dyDescent="0.35">
      <c r="B110" s="51" t="s">
        <v>729</v>
      </c>
      <c r="C110" s="55">
        <f>IF(C$99&lt;=$C$95,C108,($C$119+(Assumptions!$J$18-$C$119)*MIN(MAX(C$99-$C$95,0)/Assumptions!$D$33,1))*C100)</f>
        <v>-23</v>
      </c>
      <c r="D110" s="55">
        <f>IF(D$99&lt;=$C$95,D108,($C$119+(Assumptions!$J$18-$C$119)*MIN(MAX(D$99-$C$95,0)/Assumptions!$D$33,1))*D100)</f>
        <v>-44</v>
      </c>
      <c r="E110" s="55">
        <f>IF(E$99&lt;=$C$95,E108,($C$119+(Assumptions!$J$18-$C$119)*MIN(MAX(E$99-$C$95,0)/Assumptions!$D$33,1))*E100)</f>
        <v>-47.39815111927831</v>
      </c>
      <c r="F110" s="55">
        <f>IF(F$99&lt;=$C$95,F108,($C$119+(Assumptions!$J$18-$C$119)*MIN(MAX(F$99-$C$95,0)/Assumptions!$D$33,1))*F100)</f>
        <v>-46.771187470759223</v>
      </c>
      <c r="G110" s="55">
        <f>IF(G$99&lt;=$C$95,G108,($C$119+(Assumptions!$J$18-$C$119)*MIN(MAX(G$99-$C$95,0)/Assumptions!$D$33,1))*G100)</f>
        <v>-51.06629436715307</v>
      </c>
      <c r="H110" s="55">
        <f>IF(H$99&lt;=$C$95,H108,($C$119+(Assumptions!$J$18-$C$119)*MIN(MAX(H$99-$C$95,0)/Assumptions!$D$33,1))*H100)</f>
        <v>-57.413078633653015</v>
      </c>
      <c r="I110" s="55">
        <f>IF(I$99&lt;=$C$95,I108,($C$119+(Assumptions!$J$18-$C$119)*MIN(MAX(I$99-$C$95,0)/Assumptions!$D$33,1))*I100)</f>
        <v>-66.757803224960568</v>
      </c>
      <c r="J110" s="55">
        <f>IF(J$99&lt;=$C$95,J108,($C$119+(Assumptions!$J$18-$C$119)*MIN(MAX(J$99-$C$95,0)/Assumptions!$D$33,1))*J100)</f>
        <v>-80.460479187383314</v>
      </c>
      <c r="K110" s="55">
        <f>IF(K$99&lt;=$C$95,K108,($C$119+(Assumptions!$J$18-$C$119)*MIN(MAX(K$99-$C$95,0)/Assumptions!$D$33,1))*K100)</f>
        <v>-101.68999999999998</v>
      </c>
      <c r="L110" s="55">
        <f>IF(L$99&lt;=$C$95,L108,($C$119+(Assumptions!$J$18-$C$119)*MIN(MAX(L$99-$C$95,0)/Assumptions!$D$33,1))*L100)</f>
        <v>45.398703999999995</v>
      </c>
      <c r="M110" s="55">
        <f>IF(M$99&lt;=$C$95,M108,($C$119+(Assumptions!$J$18-$C$119)*MIN(MAX(M$99-$C$95,0)/Assumptions!$D$33,1))*M100)</f>
        <v>97.582562719999999</v>
      </c>
    </row>
    <row r="111" spans="2:13" ht="15" customHeight="1" x14ac:dyDescent="0.35">
      <c r="B111" s="51" t="s">
        <v>730</v>
      </c>
      <c r="C111" s="55">
        <f>Assumptions!$J$14/365*C100</f>
        <v>0</v>
      </c>
      <c r="D111" s="55">
        <f>Assumptions!$J$14/365*D100</f>
        <v>3.5753424657534247</v>
      </c>
      <c r="E111" s="55">
        <f>Assumptions!$J$14/365*E100</f>
        <v>5.6002681327206378</v>
      </c>
      <c r="F111" s="55">
        <f>Assumptions!$J$14/365*F100</f>
        <v>8.7720277032978533</v>
      </c>
      <c r="G111" s="55">
        <f>Assumptions!$J$14/365*G100</f>
        <v>13.740140329681511</v>
      </c>
      <c r="H111" s="55">
        <f>Assumptions!$J$14/365*H100</f>
        <v>21.521985869739563</v>
      </c>
      <c r="I111" s="55">
        <f>Assumptions!$J$14/365*I100</f>
        <v>33.711145931797475</v>
      </c>
      <c r="J111" s="55">
        <f>Assumptions!$J$14/365*J100</f>
        <v>52.803740645179495</v>
      </c>
      <c r="K111" s="55">
        <f>Assumptions!$J$14/365*K100</f>
        <v>82.709589041095867</v>
      </c>
      <c r="L111" s="55">
        <f>Assumptions!$J$14/365*L100</f>
        <v>122.4101917808219</v>
      </c>
      <c r="M111" s="55">
        <f>Assumptions!$J$14/365*M100</f>
        <v>164.02965698630135</v>
      </c>
    </row>
    <row r="112" spans="2:13" ht="15" customHeight="1" x14ac:dyDescent="0.35">
      <c r="B112" s="51" t="s">
        <v>731</v>
      </c>
      <c r="C112" s="55">
        <f>C111</f>
        <v>0</v>
      </c>
      <c r="D112" s="55">
        <f t="shared" ref="D112:M112" si="20">D111-C111</f>
        <v>3.5753424657534247</v>
      </c>
      <c r="E112" s="55">
        <f t="shared" si="20"/>
        <v>2.0249256669672131</v>
      </c>
      <c r="F112" s="55">
        <f t="shared" si="20"/>
        <v>3.1717595705772155</v>
      </c>
      <c r="G112" s="55">
        <f t="shared" si="20"/>
        <v>4.9681126263836575</v>
      </c>
      <c r="H112" s="55">
        <f t="shared" si="20"/>
        <v>7.7818455400580522</v>
      </c>
      <c r="I112" s="55">
        <f t="shared" si="20"/>
        <v>12.189160062057912</v>
      </c>
      <c r="J112" s="55">
        <f t="shared" si="20"/>
        <v>19.09259471338202</v>
      </c>
      <c r="K112" s="55">
        <f t="shared" si="20"/>
        <v>29.905848395916372</v>
      </c>
      <c r="L112" s="55">
        <f t="shared" si="20"/>
        <v>39.700602739726037</v>
      </c>
      <c r="M112" s="55">
        <f t="shared" si="20"/>
        <v>41.619465205479443</v>
      </c>
    </row>
    <row r="113" spans="2:13" ht="15" customHeight="1" x14ac:dyDescent="0.35">
      <c r="B113" s="51" t="s">
        <v>732</v>
      </c>
      <c r="C113" s="55">
        <f t="shared" ref="C113:M113" si="21">C110-C112</f>
        <v>-23</v>
      </c>
      <c r="D113" s="55">
        <f t="shared" si="21"/>
        <v>-47.575342465753423</v>
      </c>
      <c r="E113" s="55">
        <f t="shared" si="21"/>
        <v>-49.423076786245524</v>
      </c>
      <c r="F113" s="55">
        <f t="shared" si="21"/>
        <v>-49.942947041336438</v>
      </c>
      <c r="G113" s="55">
        <f t="shared" si="21"/>
        <v>-56.034406993536727</v>
      </c>
      <c r="H113" s="55">
        <f t="shared" si="21"/>
        <v>-65.194924173711073</v>
      </c>
      <c r="I113" s="55">
        <f t="shared" si="21"/>
        <v>-78.946963287018477</v>
      </c>
      <c r="J113" s="55">
        <f t="shared" si="21"/>
        <v>-99.553073900765327</v>
      </c>
      <c r="K113" s="55">
        <f t="shared" si="21"/>
        <v>-131.59584839591636</v>
      </c>
      <c r="L113" s="55">
        <f t="shared" si="21"/>
        <v>5.6981012602739582</v>
      </c>
      <c r="M113" s="55">
        <f t="shared" si="21"/>
        <v>55.963097514520555</v>
      </c>
    </row>
    <row r="114" spans="2:13" ht="15" customHeight="1" x14ac:dyDescent="0.35">
      <c r="B114" s="51" t="s">
        <v>733</v>
      </c>
      <c r="C114" s="55">
        <f t="shared" ref="C114:M114" si="22">MAX(-C113,0)</f>
        <v>23</v>
      </c>
      <c r="D114" s="55">
        <f t="shared" si="22"/>
        <v>47.575342465753423</v>
      </c>
      <c r="E114" s="55">
        <f t="shared" si="22"/>
        <v>49.423076786245524</v>
      </c>
      <c r="F114" s="55">
        <f t="shared" si="22"/>
        <v>49.942947041336438</v>
      </c>
      <c r="G114" s="55">
        <f t="shared" si="22"/>
        <v>56.034406993536727</v>
      </c>
      <c r="H114" s="55">
        <f t="shared" si="22"/>
        <v>65.194924173711073</v>
      </c>
      <c r="I114" s="55">
        <f t="shared" si="22"/>
        <v>78.946963287018477</v>
      </c>
      <c r="J114" s="55">
        <f t="shared" si="22"/>
        <v>99.553073900765327</v>
      </c>
      <c r="K114" s="55">
        <f t="shared" si="22"/>
        <v>131.59584839591636</v>
      </c>
      <c r="L114" s="55">
        <f t="shared" si="22"/>
        <v>0</v>
      </c>
      <c r="M114" s="55">
        <f t="shared" si="22"/>
        <v>0</v>
      </c>
    </row>
    <row r="115" spans="2:13" ht="15" customHeight="1" x14ac:dyDescent="0.35">
      <c r="B115" s="51" t="s">
        <v>734</v>
      </c>
      <c r="C115" s="55">
        <f>C113</f>
        <v>-23</v>
      </c>
      <c r="D115" s="55">
        <f t="shared" ref="D115:M115" si="23">C115+D113</f>
        <v>-70.575342465753423</v>
      </c>
      <c r="E115" s="55">
        <f t="shared" si="23"/>
        <v>-119.99841925199894</v>
      </c>
      <c r="F115" s="55">
        <f t="shared" si="23"/>
        <v>-169.94136629333536</v>
      </c>
      <c r="G115" s="55">
        <f t="shared" si="23"/>
        <v>-225.97577328687208</v>
      </c>
      <c r="H115" s="55">
        <f t="shared" si="23"/>
        <v>-291.17069746058314</v>
      </c>
      <c r="I115" s="55">
        <f t="shared" si="23"/>
        <v>-370.11766074760163</v>
      </c>
      <c r="J115" s="55">
        <f t="shared" si="23"/>
        <v>-469.67073464836699</v>
      </c>
      <c r="K115" s="55">
        <f t="shared" si="23"/>
        <v>-601.26658304428338</v>
      </c>
      <c r="L115" s="55">
        <f t="shared" si="23"/>
        <v>-595.56848178400946</v>
      </c>
      <c r="M115" s="55">
        <f t="shared" si="23"/>
        <v>-539.60538426948892</v>
      </c>
    </row>
    <row r="116" spans="2:13" ht="15" customHeight="1" x14ac:dyDescent="0.35">
      <c r="B116" s="51" t="s">
        <v>735</v>
      </c>
      <c r="C116" s="56">
        <f>(1+Assumptions!$J$15)^(-C$99)</f>
        <v>1</v>
      </c>
      <c r="D116" s="56">
        <f>(1+Assumptions!$J$15)^(-D$99)</f>
        <v>0.89847259658580414</v>
      </c>
      <c r="E116" s="56">
        <f>(1+Assumptions!$J$15)^(-E$99)</f>
        <v>0.80725300681563716</v>
      </c>
      <c r="F116" s="56">
        <f>(1+Assumptions!$J$15)^(-F$99)</f>
        <v>0.72529470513534333</v>
      </c>
      <c r="G116" s="56">
        <f>(1+Assumptions!$J$15)^(-G$99)</f>
        <v>0.65165741701288704</v>
      </c>
      <c r="H116" s="56">
        <f>(1+Assumptions!$J$15)^(-H$99)</f>
        <v>0.58549633154796688</v>
      </c>
      <c r="I116" s="56">
        <f>(1+Assumptions!$J$15)^(-I$99)</f>
        <v>0.52605240929736463</v>
      </c>
      <c r="J116" s="56">
        <f>(1+Assumptions!$J$15)^(-J$99)</f>
        <v>0.47264367412162139</v>
      </c>
      <c r="K116" s="56">
        <f>(1+Assumptions!$J$15)^(-K$99)</f>
        <v>0.42465738914790779</v>
      </c>
      <c r="L116" s="56">
        <f>(1+Assumptions!$J$15)^(-L$99)</f>
        <v>0.381543027087069</v>
      </c>
      <c r="M116" s="56">
        <f>(1+Assumptions!$J$15)^(-M$99)</f>
        <v>0.34280595425612664</v>
      </c>
    </row>
    <row r="117" spans="2:13" ht="15" customHeight="1" x14ac:dyDescent="0.35">
      <c r="B117" s="51" t="s">
        <v>736</v>
      </c>
      <c r="C117" s="55">
        <f>Assumptions!$J$19*(1+Assumptions!$J$16)^C$99</f>
        <v>690</v>
      </c>
      <c r="D117" s="55">
        <f>Assumptions!$J$19*(1+Assumptions!$J$16)^D$99</f>
        <v>828</v>
      </c>
      <c r="E117" s="55">
        <f>Assumptions!$J$19*(1+Assumptions!$J$16)^E$99</f>
        <v>993.59999999999991</v>
      </c>
      <c r="F117" s="55">
        <f>Assumptions!$J$19*(1+Assumptions!$J$16)^F$99</f>
        <v>1192.32</v>
      </c>
      <c r="G117" s="55">
        <f>Assumptions!$J$19*(1+Assumptions!$J$16)^G$99</f>
        <v>1430.7839999999999</v>
      </c>
      <c r="H117" s="55">
        <f>Assumptions!$J$19*(1+Assumptions!$J$16)^H$99</f>
        <v>1716.9407999999999</v>
      </c>
      <c r="I117" s="55">
        <f>Assumptions!$J$19*(1+Assumptions!$J$16)^I$99</f>
        <v>2060.3289599999998</v>
      </c>
      <c r="J117" s="55">
        <f>Assumptions!$J$19*(1+Assumptions!$J$16)^J$99</f>
        <v>2472.3947519999997</v>
      </c>
      <c r="K117" s="55">
        <f>Assumptions!$J$19*(1+Assumptions!$J$16)^K$99</f>
        <v>2966.8737023999997</v>
      </c>
      <c r="L117" s="55">
        <f>Assumptions!$J$19*(1+Assumptions!$J$16)^L$99</f>
        <v>3560.2484428799994</v>
      </c>
      <c r="M117" s="55">
        <f>Assumptions!$J$19*(1+Assumptions!$J$16)^M$99</f>
        <v>4272.2981314559993</v>
      </c>
    </row>
    <row r="118" spans="2:13" ht="15" customHeight="1" x14ac:dyDescent="0.35">
      <c r="B118" s="51" t="s">
        <v>737</v>
      </c>
      <c r="C118" s="55">
        <f>(Assumptions!$D$30+(Assumptions!$J$18-Assumptions!$D$30)*MIN(C$99/Assumptions!$D$33,1))*C117</f>
        <v>24.150000000000002</v>
      </c>
      <c r="D118" s="55">
        <f>(Assumptions!$D$30+(Assumptions!$J$18-Assumptions!$D$30)*MIN(D$99/Assumptions!$D$33,1))*D117</f>
        <v>73.1952</v>
      </c>
      <c r="E118" s="55">
        <f>(Assumptions!$D$30+(Assumptions!$J$18-Assumptions!$D$30)*MIN(E$99/Assumptions!$D$33,1))*E117</f>
        <v>140.89248000000001</v>
      </c>
      <c r="F118" s="55">
        <f>(Assumptions!$D$30+(Assumptions!$J$18-Assumptions!$D$30)*MIN(F$99/Assumptions!$D$33,1))*F117</f>
        <v>232.74086400000002</v>
      </c>
      <c r="G118" s="55">
        <f>(Assumptions!$D$30+(Assumptions!$J$18-Assumptions!$D$30)*MIN(G$99/Assumptions!$D$33,1))*G117</f>
        <v>355.69290239999998</v>
      </c>
      <c r="H118" s="55">
        <f>(Assumptions!$D$30+(Assumptions!$J$18-Assumptions!$D$30)*MIN(H$99/Assumptions!$D$33,1))*H117</f>
        <v>518.51612160000002</v>
      </c>
      <c r="I118" s="55">
        <f>(Assumptions!$D$30+(Assumptions!$J$18-Assumptions!$D$30)*MIN(I$99/Assumptions!$D$33,1))*I117</f>
        <v>622.21934592000002</v>
      </c>
      <c r="J118" s="55">
        <f>(Assumptions!$D$30+(Assumptions!$J$18-Assumptions!$D$30)*MIN(J$99/Assumptions!$D$33,1))*J117</f>
        <v>746.66321510400007</v>
      </c>
      <c r="K118" s="55">
        <f>(Assumptions!$D$30+(Assumptions!$J$18-Assumptions!$D$30)*MIN(K$99/Assumptions!$D$33,1))*K117</f>
        <v>895.99585812480007</v>
      </c>
      <c r="L118" s="55">
        <f>(Assumptions!$D$30+(Assumptions!$J$18-Assumptions!$D$30)*MIN(L$99/Assumptions!$D$33,1))*L117</f>
        <v>1075.1950297497599</v>
      </c>
      <c r="M118" s="55">
        <f>(Assumptions!$D$30+(Assumptions!$J$18-Assumptions!$D$30)*MIN(M$99/Assumptions!$D$33,1))*M117</f>
        <v>1290.234035699712</v>
      </c>
    </row>
    <row r="119" spans="2:13" ht="15" customHeight="1" x14ac:dyDescent="0.35">
      <c r="B119" s="51" t="s">
        <v>738</v>
      </c>
      <c r="C119" s="53">
        <f>MAX(Assumptions!$D$30,INDEX(C108:M108,$C$95+1)/INDEX(C100:M100,$C$95+1))</f>
        <v>3.5000000000000003E-2</v>
      </c>
    </row>
    <row r="121" spans="2:13" ht="15" customHeight="1" x14ac:dyDescent="0.35">
      <c r="B121" s="51" t="s">
        <v>739</v>
      </c>
      <c r="C121" s="57">
        <f>SUMPRODUCT($C$114:$M$114,$C$116:$M$116,($C$99:$M$99&lt;=$C$95)*1)</f>
        <v>361.01856999780944</v>
      </c>
    </row>
    <row r="122" spans="2:13" ht="15" customHeight="1" x14ac:dyDescent="0.35">
      <c r="B122" s="51" t="s">
        <v>740</v>
      </c>
      <c r="C122" s="57">
        <f>-MIN($C$115:$M$115)</f>
        <v>601.26658304428338</v>
      </c>
    </row>
    <row r="123" spans="2:13" ht="15" customHeight="1" x14ac:dyDescent="0.35">
      <c r="B123" s="51" t="s">
        <v>741</v>
      </c>
      <c r="C123" s="58">
        <f>Assumptions!$J$17</f>
        <v>0.05</v>
      </c>
    </row>
    <row r="124" spans="2:13" ht="15" customHeight="1" x14ac:dyDescent="0.35">
      <c r="B124" s="59" t="s">
        <v>742</v>
      </c>
      <c r="C124" s="60">
        <f>$C$121/$C$123</f>
        <v>7220.3713999561887</v>
      </c>
    </row>
    <row r="125" spans="2:13" ht="15" customHeight="1" x14ac:dyDescent="0.35">
      <c r="B125" s="51" t="s">
        <v>743</v>
      </c>
      <c r="C125" s="57">
        <f>SUMPRODUCT($C$118:$M$118-$C$110:$M$110*($C$99:$M$99&gt;$C$95),$C$116:$M$116,($C$99:$M$99&gt;=1)*1)</f>
        <v>2746.1612077692052</v>
      </c>
    </row>
    <row r="126" spans="2:13" ht="15" customHeight="1" x14ac:dyDescent="0.35">
      <c r="B126" s="51" t="s">
        <v>744</v>
      </c>
      <c r="C126" s="57">
        <f>$M$117-$M$100</f>
        <v>3584.1277314559993</v>
      </c>
    </row>
    <row r="127" spans="2:13" ht="15" customHeight="1" x14ac:dyDescent="0.35">
      <c r="B127" s="51" t="s">
        <v>745</v>
      </c>
      <c r="C127" s="57">
        <f>$C$126*Assumptions!$J$18/(Assumptions!$J$15-Assumptions!$J$25)*$M$116</f>
        <v>5889.76855240637</v>
      </c>
    </row>
    <row r="128" spans="2:13" ht="15" customHeight="1" x14ac:dyDescent="0.35">
      <c r="B128" s="59" t="s">
        <v>746</v>
      </c>
      <c r="C128" s="60">
        <f>$C$125+$C$127</f>
        <v>8635.9297601755752</v>
      </c>
    </row>
    <row r="129" spans="2:3" ht="15" customHeight="1" x14ac:dyDescent="0.35">
      <c r="B129" s="59" t="s">
        <v>747</v>
      </c>
      <c r="C129" s="60">
        <f>$C$124+$C$128</f>
        <v>15856.301160131763</v>
      </c>
    </row>
    <row r="130" spans="2:3" ht="15" customHeight="1" x14ac:dyDescent="0.35">
      <c r="B130" s="51" t="s">
        <v>748</v>
      </c>
      <c r="C130" s="57">
        <f>Assumptions!$J$21+Assumptions!$J$23+Assumptions!$J$20-Assumptions!$J$22</f>
        <v>255</v>
      </c>
    </row>
    <row r="131" spans="2:3" ht="15" customHeight="1" x14ac:dyDescent="0.35">
      <c r="B131" s="51" t="s">
        <v>749</v>
      </c>
      <c r="C131" s="57">
        <f>Assumptions!$D$29+$C$130</f>
        <v>2961.45</v>
      </c>
    </row>
    <row r="132" spans="2:3" ht="15" customHeight="1" x14ac:dyDescent="0.35">
      <c r="B132" s="59" t="s">
        <v>750</v>
      </c>
      <c r="C132" s="60">
        <f>$C$129-$C$130</f>
        <v>15601.301160131763</v>
      </c>
    </row>
    <row r="133" spans="2:3" ht="15" customHeight="1" x14ac:dyDescent="0.35">
      <c r="B133" s="51" t="s">
        <v>751</v>
      </c>
      <c r="C133" s="57">
        <f>$C$132-Assumptions!$D$29</f>
        <v>12894.851160131762</v>
      </c>
    </row>
    <row r="134" spans="2:3" ht="15" customHeight="1" x14ac:dyDescent="0.35">
      <c r="B134" s="51" t="s">
        <v>752</v>
      </c>
      <c r="C134" s="57">
        <f>SUMPRODUCT($C$114:$M$114,$C$116:$M$116,($C$99:$M$99&lt;=$C$97)*1)</f>
        <v>141.86542386837735</v>
      </c>
    </row>
    <row r="135" spans="2:3" ht="15" customHeight="1" x14ac:dyDescent="0.35">
      <c r="B135" s="51" t="s">
        <v>753</v>
      </c>
      <c r="C135" s="57">
        <f>$C$121+(1/$C$123-1)*$C$134</f>
        <v>3056.461623496979</v>
      </c>
    </row>
    <row r="136" spans="2:3" ht="15" customHeight="1" x14ac:dyDescent="0.35">
      <c r="B136" s="51" t="s">
        <v>754</v>
      </c>
      <c r="C136" s="57">
        <f>$C$135+$C$128-$C$130</f>
        <v>11437.391383672555</v>
      </c>
    </row>
    <row r="137" spans="2:3" ht="15" customHeight="1" x14ac:dyDescent="0.35">
      <c r="B137" s="51" t="s">
        <v>755</v>
      </c>
      <c r="C137" s="57">
        <f>SUMPRODUCT($C$118:$M$118,$C$116:$M$116,($C$99:$M$99&gt;=1)*1)+$M$118*(1+Assumptions!$J$25)/(Assumptions!$J$15-Assumptions!$J$25)*$M$116</f>
        <v>10168.599813947403</v>
      </c>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04E23"/>
    <pageSetUpPr fitToPage="1"/>
  </sheetPr>
  <dimension ref="A1:S340"/>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40" customWidth="1"/>
    <col min="2" max="2" width="44" customWidth="1"/>
    <col min="3" max="15" width="12" customWidth="1"/>
    <col min="16" max="16" width="26" customWidth="1"/>
    <col min="17" max="19" width="12" customWidth="1"/>
  </cols>
  <sheetData>
    <row r="1" spans="1:19" ht="17.399999999999999" customHeight="1" x14ac:dyDescent="0.4">
      <c r="A1" s="47" t="s">
        <v>758</v>
      </c>
    </row>
    <row r="2" spans="1:19" ht="15" customHeight="1" x14ac:dyDescent="0.35">
      <c r="A2" s="48"/>
    </row>
    <row r="3" spans="1:19" ht="15" customHeight="1" x14ac:dyDescent="0.35">
      <c r="A3" s="61" t="s">
        <v>759</v>
      </c>
      <c r="B3" s="62"/>
      <c r="C3" s="62"/>
      <c r="D3" s="62"/>
      <c r="E3" s="62"/>
      <c r="F3" s="62"/>
      <c r="G3" s="62"/>
      <c r="H3" s="62"/>
      <c r="I3" s="62"/>
      <c r="J3" s="62"/>
      <c r="K3" s="62"/>
      <c r="L3" s="62"/>
      <c r="M3" s="62"/>
      <c r="P3" s="63" t="s">
        <v>760</v>
      </c>
    </row>
    <row r="4" spans="1:19" ht="15" customHeight="1" x14ac:dyDescent="0.35">
      <c r="B4" s="64" t="s">
        <v>579</v>
      </c>
      <c r="C4" s="64" t="s">
        <v>578</v>
      </c>
      <c r="D4" s="64" t="s">
        <v>580</v>
      </c>
      <c r="P4" s="59" t="s">
        <v>761</v>
      </c>
    </row>
    <row r="5" spans="1:19" ht="15" customHeight="1" x14ac:dyDescent="0.35">
      <c r="A5" s="51" t="s">
        <v>762</v>
      </c>
      <c r="B5" s="65">
        <f>Build_Model!$C$5+1</f>
        <v>7</v>
      </c>
      <c r="C5" s="65">
        <f>Build_Model!$C$50+1</f>
        <v>5</v>
      </c>
      <c r="D5" s="65">
        <f>Build_Model!$C$95+1</f>
        <v>9</v>
      </c>
      <c r="P5" s="59" t="s">
        <v>763</v>
      </c>
      <c r="Q5" s="59" t="s">
        <v>764</v>
      </c>
      <c r="R5" s="59" t="s">
        <v>765</v>
      </c>
      <c r="S5" s="59" t="s">
        <v>766</v>
      </c>
    </row>
    <row r="6" spans="1:19" ht="15" customHeight="1" x14ac:dyDescent="0.35">
      <c r="A6" s="51" t="s">
        <v>767</v>
      </c>
      <c r="B6" s="57">
        <f>Build_Model!$C$31</f>
        <v>139.38926385045846</v>
      </c>
      <c r="C6" s="57">
        <f>Build_Model!$C$76</f>
        <v>28.62464438110171</v>
      </c>
      <c r="D6" s="57">
        <f>Build_Model!$C$121</f>
        <v>361.01856999780944</v>
      </c>
      <c r="P6" s="51" t="s">
        <v>651</v>
      </c>
      <c r="Q6" s="66">
        <v>2510.9</v>
      </c>
      <c r="R6" s="66">
        <v>6037.5</v>
      </c>
      <c r="S6" s="66">
        <v>3526.5</v>
      </c>
    </row>
    <row r="7" spans="1:19" ht="15" customHeight="1" x14ac:dyDescent="0.35">
      <c r="A7" s="51" t="s">
        <v>741</v>
      </c>
      <c r="B7" s="58">
        <f>Build_Model!$C$33</f>
        <v>0.11</v>
      </c>
      <c r="C7" s="58">
        <f>Build_Model!$C$78</f>
        <v>0.28999999999999998</v>
      </c>
      <c r="D7" s="58">
        <f>Build_Model!$C$123</f>
        <v>0.05</v>
      </c>
      <c r="P7" s="51" t="s">
        <v>656</v>
      </c>
      <c r="Q7" s="66">
        <v>4716.8</v>
      </c>
      <c r="R7" s="66">
        <v>2409.6</v>
      </c>
      <c r="S7" s="66">
        <v>2307.1</v>
      </c>
    </row>
    <row r="8" spans="1:19" ht="15" customHeight="1" x14ac:dyDescent="0.35">
      <c r="A8" s="51" t="s">
        <v>768</v>
      </c>
      <c r="B8" s="57">
        <f>Build_Model!$C$34</f>
        <v>1267.1751259132589</v>
      </c>
      <c r="C8" s="57">
        <f>Build_Model!$C$79</f>
        <v>98.705670279661078</v>
      </c>
      <c r="D8" s="57">
        <f>Build_Model!$C$124</f>
        <v>7220.3713999561887</v>
      </c>
      <c r="P8" s="51" t="s">
        <v>661</v>
      </c>
      <c r="Q8" s="66">
        <v>2589.6</v>
      </c>
      <c r="R8" s="66">
        <v>4433.5</v>
      </c>
      <c r="S8" s="66">
        <v>1843.9</v>
      </c>
    </row>
    <row r="9" spans="1:19" ht="15" customHeight="1" x14ac:dyDescent="0.35">
      <c r="A9" s="51" t="s">
        <v>769</v>
      </c>
      <c r="B9" s="57">
        <f>Build_Model!$C$38</f>
        <v>2455.9887616171309</v>
      </c>
      <c r="C9" s="57">
        <f>Build_Model!$C$83</f>
        <v>910.10416664769059</v>
      </c>
      <c r="D9" s="57">
        <f>Build_Model!$C$128</f>
        <v>8635.9297601755752</v>
      </c>
      <c r="P9" s="51" t="s">
        <v>646</v>
      </c>
      <c r="Q9" s="66">
        <v>3829.7</v>
      </c>
      <c r="R9" s="66">
        <v>2604.9</v>
      </c>
      <c r="S9" s="66">
        <v>1224.8</v>
      </c>
    </row>
    <row r="10" spans="1:19" ht="15" customHeight="1" x14ac:dyDescent="0.35">
      <c r="A10" s="51" t="s">
        <v>747</v>
      </c>
      <c r="B10" s="57">
        <f>Build_Model!$C$39</f>
        <v>3723.1638875303897</v>
      </c>
      <c r="C10" s="57">
        <f>Build_Model!$C$84</f>
        <v>1008.8098369273516</v>
      </c>
      <c r="D10" s="57">
        <f>Build_Model!$C$129</f>
        <v>15856.301160131763</v>
      </c>
      <c r="P10" s="51" t="s">
        <v>583</v>
      </c>
      <c r="Q10" s="66">
        <v>2571.6</v>
      </c>
      <c r="R10" s="66">
        <v>3660.1</v>
      </c>
      <c r="S10" s="66">
        <v>1088.5</v>
      </c>
    </row>
    <row r="11" spans="1:19" ht="15" customHeight="1" x14ac:dyDescent="0.35">
      <c r="A11" s="51" t="s">
        <v>749</v>
      </c>
      <c r="B11" s="57">
        <f>Build_Model!$C$41</f>
        <v>3233.45</v>
      </c>
      <c r="C11" s="57">
        <f>Build_Model!$C$86</f>
        <v>3432.45</v>
      </c>
      <c r="D11" s="57">
        <f>Build_Model!$C$131</f>
        <v>2961.45</v>
      </c>
      <c r="P11" s="51" t="s">
        <v>622</v>
      </c>
      <c r="Q11" s="66">
        <v>2911</v>
      </c>
      <c r="R11" s="66">
        <v>3594.1</v>
      </c>
      <c r="S11" s="66">
        <v>683.1</v>
      </c>
    </row>
    <row r="12" spans="1:19" ht="15" customHeight="1" x14ac:dyDescent="0.35">
      <c r="A12" s="59" t="s">
        <v>770</v>
      </c>
      <c r="B12" s="60">
        <f>Build_Model!$C$42</f>
        <v>3196.1638875303897</v>
      </c>
      <c r="C12" s="60">
        <f>Build_Model!$C$87</f>
        <v>282.80983692735163</v>
      </c>
      <c r="D12" s="60">
        <f>Build_Model!$C$132</f>
        <v>15601.301160131763</v>
      </c>
      <c r="P12" s="51" t="s">
        <v>618</v>
      </c>
      <c r="Q12" s="66">
        <v>2973.4</v>
      </c>
      <c r="R12" s="66">
        <v>3508</v>
      </c>
      <c r="S12" s="66">
        <v>534.6</v>
      </c>
    </row>
    <row r="13" spans="1:19" ht="15" customHeight="1" x14ac:dyDescent="0.35">
      <c r="A13" s="51" t="s">
        <v>771</v>
      </c>
      <c r="B13" s="57">
        <f>Build_Model!$C$43</f>
        <v>489.71388753038991</v>
      </c>
      <c r="C13" s="57">
        <f>Build_Model!$C$88</f>
        <v>-2423.6401630726482</v>
      </c>
      <c r="D13" s="57">
        <f>Build_Model!$C$133</f>
        <v>12894.851160131762</v>
      </c>
      <c r="P13" s="51" t="s">
        <v>641</v>
      </c>
      <c r="Q13" s="66">
        <v>2967.2</v>
      </c>
      <c r="R13" s="66">
        <v>3499.6</v>
      </c>
      <c r="S13" s="66">
        <v>532.4</v>
      </c>
    </row>
    <row r="14" spans="1:19" ht="15" customHeight="1" x14ac:dyDescent="0.35">
      <c r="A14" s="51" t="s">
        <v>772</v>
      </c>
      <c r="B14" s="66">
        <f>Assumptions!$D$29</f>
        <v>2706.45</v>
      </c>
      <c r="P14" s="51" t="s">
        <v>608</v>
      </c>
      <c r="Q14" s="66">
        <v>2999.1</v>
      </c>
      <c r="R14" s="66">
        <v>3472</v>
      </c>
      <c r="S14" s="66">
        <v>472.9</v>
      </c>
    </row>
    <row r="15" spans="1:19" ht="15" customHeight="1" x14ac:dyDescent="0.35">
      <c r="P15" s="51" t="s">
        <v>674</v>
      </c>
      <c r="Q15" s="66">
        <v>3413.2</v>
      </c>
      <c r="R15" s="66">
        <v>3047.2</v>
      </c>
      <c r="S15" s="66">
        <v>366</v>
      </c>
    </row>
    <row r="16" spans="1:19" ht="15" customHeight="1" x14ac:dyDescent="0.35">
      <c r="A16" s="67" t="s">
        <v>773</v>
      </c>
      <c r="B16" s="62"/>
      <c r="C16" s="62"/>
      <c r="D16" s="62"/>
      <c r="E16" s="62"/>
      <c r="F16" s="62"/>
      <c r="G16" s="62"/>
      <c r="H16" s="62"/>
      <c r="I16" s="62"/>
      <c r="J16" s="62"/>
      <c r="K16" s="62"/>
      <c r="L16" s="62"/>
      <c r="M16" s="62"/>
      <c r="P16" s="51" t="s">
        <v>600</v>
      </c>
      <c r="Q16" s="66">
        <v>3432.6</v>
      </c>
      <c r="R16" s="66">
        <v>3107.5</v>
      </c>
      <c r="S16" s="66">
        <v>325</v>
      </c>
    </row>
    <row r="17" spans="1:19" ht="15" customHeight="1" x14ac:dyDescent="0.35">
      <c r="A17" s="64" t="s">
        <v>774</v>
      </c>
      <c r="B17" s="68">
        <v>3</v>
      </c>
      <c r="C17" s="68">
        <v>4</v>
      </c>
      <c r="D17" s="68">
        <v>5</v>
      </c>
      <c r="E17" s="68">
        <v>6</v>
      </c>
      <c r="F17" s="68">
        <v>7</v>
      </c>
      <c r="G17" s="68">
        <v>8</v>
      </c>
      <c r="H17" s="69">
        <v>9</v>
      </c>
      <c r="P17" s="51" t="s">
        <v>632</v>
      </c>
      <c r="Q17" s="66">
        <v>3101.7</v>
      </c>
      <c r="R17" s="66">
        <v>3337.8</v>
      </c>
      <c r="S17" s="66">
        <v>236.1</v>
      </c>
    </row>
    <row r="18" spans="1:19" ht="15" customHeight="1" x14ac:dyDescent="0.35">
      <c r="A18" s="70">
        <v>0.05</v>
      </c>
      <c r="B18" s="71">
        <f t="shared" ref="B18:B23" si="0">$C$54/$A18+$C$61-$C$63</f>
        <v>3362.8647897023557</v>
      </c>
      <c r="C18" s="71">
        <f t="shared" ref="C18:C23" si="1">$C$99/$A18+$C$106-$C$108</f>
        <v>3845.8225870126553</v>
      </c>
      <c r="D18" s="71">
        <f t="shared" ref="D18:D23" si="2">$C$144/$A18+$C$151-$C$153</f>
        <v>4303.5323036381169</v>
      </c>
      <c r="E18" s="71">
        <f t="shared" ref="E18:E23" si="3">$C$189/$A18+$C$196-$C$198</f>
        <v>4716.7740386262994</v>
      </c>
      <c r="F18" s="71">
        <f t="shared" ref="F18:F23" si="4">$C$234/$A18+$C$241-$C$243</f>
        <v>5077.3208012142904</v>
      </c>
      <c r="G18" s="71">
        <f t="shared" ref="G18:G23" si="5">$C$279/$A18+$C$286-$C$288</f>
        <v>5391.5252782890839</v>
      </c>
      <c r="H18" s="72">
        <f t="shared" ref="H18:H23" si="6">$C$324/$A18+$C$331-$C$333</f>
        <v>5775.3813316002997</v>
      </c>
      <c r="P18" s="51" t="s">
        <v>666</v>
      </c>
      <c r="Q18" s="66">
        <v>3001.7</v>
      </c>
      <c r="R18" s="66">
        <v>3196.2</v>
      </c>
      <c r="S18" s="66">
        <v>194.4</v>
      </c>
    </row>
    <row r="19" spans="1:19" ht="15" customHeight="1" x14ac:dyDescent="0.35">
      <c r="A19" s="70">
        <v>0.08</v>
      </c>
      <c r="B19" s="71">
        <f t="shared" si="0"/>
        <v>2570.3956714340038</v>
      </c>
      <c r="C19" s="71">
        <f t="shared" si="1"/>
        <v>2969.8061063531418</v>
      </c>
      <c r="D19" s="71">
        <f t="shared" si="2"/>
        <v>3340.2318323644886</v>
      </c>
      <c r="E19" s="71">
        <f t="shared" si="3"/>
        <v>3671.3545597478615</v>
      </c>
      <c r="F19" s="71">
        <f t="shared" si="4"/>
        <v>3956.2264270625674</v>
      </c>
      <c r="G19" s="71">
        <f t="shared" si="5"/>
        <v>4201.1567285276606</v>
      </c>
      <c r="H19" s="72">
        <f t="shared" si="6"/>
        <v>4521.7680144924525</v>
      </c>
      <c r="P19" s="51" t="s">
        <v>595</v>
      </c>
      <c r="Q19" s="66">
        <v>3271.2</v>
      </c>
      <c r="R19" s="66">
        <v>3121.1</v>
      </c>
      <c r="S19" s="66">
        <v>150</v>
      </c>
    </row>
    <row r="20" spans="1:19" ht="15" customHeight="1" x14ac:dyDescent="0.35">
      <c r="A20" s="70">
        <v>0.11</v>
      </c>
      <c r="B20" s="71">
        <f t="shared" si="0"/>
        <v>2210.18243585748</v>
      </c>
      <c r="C20" s="71">
        <f t="shared" si="1"/>
        <v>2571.6167969624539</v>
      </c>
      <c r="D20" s="71">
        <f t="shared" si="2"/>
        <v>2902.3679817855664</v>
      </c>
      <c r="E20" s="71">
        <f t="shared" si="3"/>
        <v>3196.1638875303897</v>
      </c>
      <c r="F20" s="71">
        <f t="shared" si="4"/>
        <v>3446.6380751754209</v>
      </c>
      <c r="G20" s="71">
        <f t="shared" si="5"/>
        <v>3660.0801149997415</v>
      </c>
      <c r="H20" s="72">
        <f t="shared" si="6"/>
        <v>3951.9437794434316</v>
      </c>
      <c r="P20" s="51" t="s">
        <v>605</v>
      </c>
      <c r="Q20" s="66">
        <v>3144.7</v>
      </c>
      <c r="R20" s="66">
        <v>3247.6</v>
      </c>
      <c r="S20" s="66">
        <v>102.9</v>
      </c>
    </row>
    <row r="21" spans="1:19" ht="15" customHeight="1" x14ac:dyDescent="0.35">
      <c r="A21" s="70">
        <v>0.15</v>
      </c>
      <c r="B21" s="71">
        <f t="shared" si="0"/>
        <v>1954.03080166973</v>
      </c>
      <c r="C21" s="71">
        <f t="shared" si="1"/>
        <v>2288.4599547290763</v>
      </c>
      <c r="D21" s="71">
        <f t="shared" si="2"/>
        <v>2590.9981324849996</v>
      </c>
      <c r="E21" s="71">
        <f t="shared" si="3"/>
        <v>2858.2505206201872</v>
      </c>
      <c r="F21" s="71">
        <f t="shared" si="4"/>
        <v>3084.2641360556722</v>
      </c>
      <c r="G21" s="71">
        <f t="shared" si="5"/>
        <v>3275.3145231576655</v>
      </c>
      <c r="H21" s="72">
        <f t="shared" si="6"/>
        <v>3546.7354345196836</v>
      </c>
      <c r="P21" s="51" t="s">
        <v>637</v>
      </c>
      <c r="Q21" s="66">
        <v>3151.6</v>
      </c>
      <c r="R21" s="66">
        <v>3240.7</v>
      </c>
      <c r="S21" s="66">
        <v>89.1</v>
      </c>
    </row>
    <row r="22" spans="1:19" ht="15" customHeight="1" x14ac:dyDescent="0.35">
      <c r="A22" s="70">
        <v>0.2</v>
      </c>
      <c r="B22" s="71">
        <f t="shared" si="0"/>
        <v>1777.9265531656515</v>
      </c>
      <c r="C22" s="71">
        <f t="shared" si="1"/>
        <v>2093.7896256936288</v>
      </c>
      <c r="D22" s="71">
        <f t="shared" si="2"/>
        <v>2376.9313610908594</v>
      </c>
      <c r="E22" s="71">
        <f t="shared" si="3"/>
        <v>2625.935080869423</v>
      </c>
      <c r="F22" s="71">
        <f t="shared" si="4"/>
        <v>2835.1320529108448</v>
      </c>
      <c r="G22" s="71">
        <f t="shared" si="5"/>
        <v>3010.7881787662377</v>
      </c>
      <c r="H22" s="72">
        <f t="shared" si="6"/>
        <v>3268.1546973846066</v>
      </c>
      <c r="P22" s="51" t="s">
        <v>670</v>
      </c>
      <c r="Q22" s="66">
        <v>3221.2</v>
      </c>
      <c r="R22" s="66">
        <v>3146.2</v>
      </c>
      <c r="S22" s="66">
        <v>75</v>
      </c>
    </row>
    <row r="23" spans="1:19" ht="15" customHeight="1" x14ac:dyDescent="0.35">
      <c r="A23" s="70">
        <v>0.28999999999999998</v>
      </c>
      <c r="B23" s="71">
        <f t="shared" si="0"/>
        <v>1613.9674252480613</v>
      </c>
      <c r="C23" s="71">
        <f t="shared" si="1"/>
        <v>1912.5448365916609</v>
      </c>
      <c r="D23" s="71">
        <f t="shared" si="2"/>
        <v>2177.6278153101089</v>
      </c>
      <c r="E23" s="71">
        <f t="shared" si="3"/>
        <v>2409.641395584229</v>
      </c>
      <c r="F23" s="71">
        <f t="shared" si="4"/>
        <v>2603.181492741523</v>
      </c>
      <c r="G23" s="71">
        <f t="shared" si="5"/>
        <v>2764.5050305397363</v>
      </c>
      <c r="H23" s="72">
        <f t="shared" si="6"/>
        <v>3008.7864248795349</v>
      </c>
      <c r="P23" s="51" t="s">
        <v>589</v>
      </c>
      <c r="Q23" s="66">
        <v>3159.5</v>
      </c>
      <c r="R23" s="66">
        <v>3231</v>
      </c>
      <c r="S23" s="66">
        <v>71.400000000000006</v>
      </c>
    </row>
    <row r="24" spans="1:19" ht="15" customHeight="1" x14ac:dyDescent="0.35">
      <c r="P24" s="51" t="s">
        <v>627</v>
      </c>
      <c r="Q24" s="66">
        <v>3171.3</v>
      </c>
      <c r="R24" s="66">
        <v>3221.1</v>
      </c>
      <c r="S24" s="66">
        <v>49.8</v>
      </c>
    </row>
    <row r="25" spans="1:19" ht="15" customHeight="1" x14ac:dyDescent="0.35">
      <c r="P25" s="51" t="s">
        <v>679</v>
      </c>
      <c r="Q25" s="66">
        <v>3196.2</v>
      </c>
      <c r="R25" s="66">
        <v>3226.2</v>
      </c>
      <c r="S25" s="66">
        <v>30</v>
      </c>
    </row>
    <row r="26" spans="1:19" ht="15" customHeight="1" x14ac:dyDescent="0.35">
      <c r="A26" s="61" t="s">
        <v>775</v>
      </c>
      <c r="B26" s="62"/>
      <c r="C26" s="62"/>
      <c r="D26" s="62"/>
      <c r="E26" s="62"/>
      <c r="F26" s="62"/>
      <c r="G26" s="62"/>
      <c r="H26" s="62"/>
      <c r="I26" s="62"/>
      <c r="J26" s="62"/>
      <c r="K26" s="62"/>
      <c r="L26" s="62"/>
      <c r="M26" s="62"/>
      <c r="P26" s="51" t="s">
        <v>613</v>
      </c>
      <c r="Q26" s="66">
        <v>3196.2</v>
      </c>
      <c r="R26" s="66">
        <v>3196.2</v>
      </c>
      <c r="S26" s="66">
        <v>0</v>
      </c>
    </row>
    <row r="27" spans="1:19" ht="15" customHeight="1" x14ac:dyDescent="0.35">
      <c r="A27" s="49" t="s">
        <v>776</v>
      </c>
      <c r="B27" s="50"/>
      <c r="C27" s="50"/>
      <c r="D27" s="50"/>
      <c r="E27" s="50"/>
      <c r="F27" s="50"/>
      <c r="G27" s="50"/>
      <c r="H27" s="50"/>
      <c r="I27" s="50"/>
      <c r="J27" s="50"/>
      <c r="K27" s="50"/>
      <c r="L27" s="50"/>
      <c r="M27" s="50"/>
    </row>
    <row r="28" spans="1:19" ht="15" customHeight="1" x14ac:dyDescent="0.35">
      <c r="B28" s="51" t="s">
        <v>715</v>
      </c>
      <c r="C28" s="52">
        <f>ROUND(Sensitivity!$B$17,0)</f>
        <v>3</v>
      </c>
      <c r="P28" s="59" t="s">
        <v>777</v>
      </c>
    </row>
    <row r="29" spans="1:19" ht="15" customHeight="1" x14ac:dyDescent="0.35">
      <c r="B29" s="51" t="s">
        <v>716</v>
      </c>
      <c r="C29" s="53">
        <f>(Assumptions!$I$26/Assumptions!$I$3)^(1/($C$28-1))</f>
        <v>3.7255872020394318</v>
      </c>
      <c r="P29" s="51" t="s">
        <v>778</v>
      </c>
      <c r="Q29" s="66">
        <v>2484.2858999999999</v>
      </c>
    </row>
    <row r="30" spans="1:19" ht="15" customHeight="1" x14ac:dyDescent="0.35">
      <c r="B30" s="51" t="s">
        <v>717</v>
      </c>
      <c r="C30" s="52">
        <f>INT(Assumptions!$I$24)</f>
        <v>3</v>
      </c>
      <c r="P30" s="51" t="s">
        <v>779</v>
      </c>
      <c r="Q30" s="66">
        <v>3597.6649000000002</v>
      </c>
    </row>
    <row r="31" spans="1:19" ht="15" customHeight="1" x14ac:dyDescent="0.35">
      <c r="P31" s="51" t="s">
        <v>780</v>
      </c>
      <c r="Q31" s="66">
        <v>5218.0735000000004</v>
      </c>
    </row>
    <row r="32" spans="1:19" ht="15" customHeight="1" x14ac:dyDescent="0.35">
      <c r="B32" s="54" t="s">
        <v>718</v>
      </c>
      <c r="C32" s="54">
        <v>0</v>
      </c>
      <c r="D32" s="54">
        <v>1</v>
      </c>
      <c r="E32" s="54">
        <v>2</v>
      </c>
      <c r="F32" s="54">
        <v>3</v>
      </c>
      <c r="G32" s="54">
        <v>4</v>
      </c>
      <c r="H32" s="54">
        <v>5</v>
      </c>
      <c r="I32" s="54">
        <v>6</v>
      </c>
      <c r="J32" s="54">
        <v>7</v>
      </c>
      <c r="K32" s="54">
        <v>8</v>
      </c>
      <c r="L32" s="54">
        <v>9</v>
      </c>
      <c r="M32" s="54">
        <v>10</v>
      </c>
      <c r="P32" s="51" t="s">
        <v>781</v>
      </c>
      <c r="Q32" s="66">
        <v>649.3433</v>
      </c>
    </row>
    <row r="33" spans="2:17" ht="15" customHeight="1" x14ac:dyDescent="0.35">
      <c r="B33" s="51" t="s">
        <v>719</v>
      </c>
      <c r="C33" s="55">
        <f>IF(C$32=0,0,IF(C$32&lt;=$C$28,Assumptions!$I$3*$C$29^(C$32-1),0))</f>
        <v>0</v>
      </c>
      <c r="D33" s="55">
        <f>IF(D$32=0,0,IF(D$32&lt;=$C$28,Assumptions!$I$3*$C$29^(D$32-1),C33*(1+IF(D$32-$C$28=1,Assumptions!$D$31,IF(D$32-$C$28=2,Assumptions!$D$32,Assumptions!$I$16)))))</f>
        <v>25</v>
      </c>
      <c r="E33" s="55">
        <f>IF(E$32=0,0,IF(E$32&lt;=$C$28,Assumptions!$I$3*$C$29^(E$32-1),D33*(1+IF(E$32-$C$28=1,Assumptions!$D$31,IF(E$32-$C$28=2,Assumptions!$D$32,Assumptions!$I$16)))))</f>
        <v>93.139680050985802</v>
      </c>
      <c r="F33" s="55">
        <f>IF(F$32=0,0,IF(F$32&lt;=$C$28,Assumptions!$I$3*$C$29^(F$32-1),E33*(1+IF(F$32-$C$28=1,Assumptions!$D$31,IF(F$32-$C$28=2,Assumptions!$D$32,Assumptions!$I$16)))))</f>
        <v>347.00000000000006</v>
      </c>
      <c r="G33" s="55">
        <f>IF(G$32=0,0,IF(G$32&lt;=$C$28,Assumptions!$I$3*$C$29^(G$32-1),F33*(1+IF(G$32-$C$28=1,Assumptions!$D$31,IF(G$32-$C$28=2,Assumptions!$D$32,Assumptions!$I$16)))))</f>
        <v>513.56000000000006</v>
      </c>
      <c r="H33" s="55">
        <f>IF(H$32=0,0,IF(H$32&lt;=$C$28,Assumptions!$I$3*$C$29^(H$32-1),G33*(1+IF(H$32-$C$28=1,Assumptions!$D$31,IF(H$32-$C$28=2,Assumptions!$D$32,Assumptions!$I$16)))))</f>
        <v>688.17040000000009</v>
      </c>
      <c r="I33" s="55">
        <f>IF(I$32=0,0,IF(I$32&lt;=$C$28,Assumptions!$I$3*$C$29^(I$32-1),H33*(1+IF(I$32-$C$28=1,Assumptions!$D$31,IF(I$32-$C$28=2,Assumptions!$D$32,Assumptions!$I$16)))))</f>
        <v>770.75084800000013</v>
      </c>
      <c r="J33" s="55">
        <f>IF(J$32=0,0,IF(J$32&lt;=$C$28,Assumptions!$I$3*$C$29^(J$32-1),I33*(1+IF(J$32-$C$28=1,Assumptions!$D$31,IF(J$32-$C$28=2,Assumptions!$D$32,Assumptions!$I$16)))))</f>
        <v>863.24094976000026</v>
      </c>
      <c r="K33" s="55">
        <f>IF(K$32=0,0,IF(K$32&lt;=$C$28,Assumptions!$I$3*$C$29^(K$32-1),J33*(1+IF(K$32-$C$28=1,Assumptions!$D$31,IF(K$32-$C$28=2,Assumptions!$D$32,Assumptions!$I$16)))))</f>
        <v>966.82986373120036</v>
      </c>
      <c r="L33" s="55">
        <f>IF(L$32=0,0,IF(L$32&lt;=$C$28,Assumptions!$I$3*$C$29^(L$32-1),K33*(1+IF(L$32-$C$28=1,Assumptions!$D$31,IF(L$32-$C$28=2,Assumptions!$D$32,Assumptions!$I$16)))))</f>
        <v>1082.8494473789444</v>
      </c>
      <c r="M33" s="55">
        <f>IF(M$32=0,0,IF(M$32&lt;=$C$28,Assumptions!$I$3*$C$29^(M$32-1),L33*(1+IF(M$32-$C$28=1,Assumptions!$D$31,IF(M$32-$C$28=2,Assumptions!$D$32,Assumptions!$I$16)))))</f>
        <v>1212.7913810644179</v>
      </c>
      <c r="P33" s="51" t="s">
        <v>782</v>
      </c>
      <c r="Q33" s="66">
        <v>2011.9011</v>
      </c>
    </row>
    <row r="34" spans="2:17" ht="15" customHeight="1" x14ac:dyDescent="0.35">
      <c r="B34" s="51" t="s">
        <v>720</v>
      </c>
      <c r="C34" s="53">
        <f>IF(C$32=0,0,IF(C$32&lt;=$C$28,IF(C$32&lt;=2,Assumptions!$I$4,Assumptions!$I$4+(C$32-2)/MAX($C$28-2,1)*(Assumptions!$I$5-Assumptions!$I$4)),Assumptions!$I$5))</f>
        <v>0</v>
      </c>
      <c r="D34" s="53">
        <f>IF(D$32=0,0,IF(D$32&lt;=$C$28,IF(D$32&lt;=2,Assumptions!$I$4,Assumptions!$I$4+(D$32-2)/MAX($C$28-2,1)*(Assumptions!$I$5-Assumptions!$I$4)),Assumptions!$I$5))</f>
        <v>0.6</v>
      </c>
      <c r="E34" s="53">
        <f>IF(E$32=0,0,IF(E$32&lt;=$C$28,IF(E$32&lt;=2,Assumptions!$I$4,Assumptions!$I$4+(E$32-2)/MAX($C$28-2,1)*(Assumptions!$I$5-Assumptions!$I$4)),Assumptions!$I$5))</f>
        <v>0.6</v>
      </c>
      <c r="F34" s="53">
        <f>IF(F$32=0,0,IF(F$32&lt;=$C$28,IF(F$32&lt;=2,Assumptions!$I$4,Assumptions!$I$4+(F$32-2)/MAX($C$28-2,1)*(Assumptions!$I$5-Assumptions!$I$4)),Assumptions!$I$5))</f>
        <v>0.7</v>
      </c>
      <c r="G34" s="53">
        <f>IF(G$32=0,0,IF(G$32&lt;=$C$28,IF(G$32&lt;=2,Assumptions!$I$4,Assumptions!$I$4+(G$32-2)/MAX($C$28-2,1)*(Assumptions!$I$5-Assumptions!$I$4)),Assumptions!$I$5))</f>
        <v>0.7</v>
      </c>
      <c r="H34" s="53">
        <f>IF(H$32=0,0,IF(H$32&lt;=$C$28,IF(H$32&lt;=2,Assumptions!$I$4,Assumptions!$I$4+(H$32-2)/MAX($C$28-2,1)*(Assumptions!$I$5-Assumptions!$I$4)),Assumptions!$I$5))</f>
        <v>0.7</v>
      </c>
      <c r="I34" s="53">
        <f>IF(I$32=0,0,IF(I$32&lt;=$C$28,IF(I$32&lt;=2,Assumptions!$I$4,Assumptions!$I$4+(I$32-2)/MAX($C$28-2,1)*(Assumptions!$I$5-Assumptions!$I$4)),Assumptions!$I$5))</f>
        <v>0.7</v>
      </c>
      <c r="J34" s="53">
        <f>IF(J$32=0,0,IF(J$32&lt;=$C$28,IF(J$32&lt;=2,Assumptions!$I$4,Assumptions!$I$4+(J$32-2)/MAX($C$28-2,1)*(Assumptions!$I$5-Assumptions!$I$4)),Assumptions!$I$5))</f>
        <v>0.7</v>
      </c>
      <c r="K34" s="53">
        <f>IF(K$32=0,0,IF(K$32&lt;=$C$28,IF(K$32&lt;=2,Assumptions!$I$4,Assumptions!$I$4+(K$32-2)/MAX($C$28-2,1)*(Assumptions!$I$5-Assumptions!$I$4)),Assumptions!$I$5))</f>
        <v>0.7</v>
      </c>
      <c r="L34" s="53">
        <f>IF(L$32=0,0,IF(L$32&lt;=$C$28,IF(L$32&lt;=2,Assumptions!$I$4,Assumptions!$I$4+(L$32-2)/MAX($C$28-2,1)*(Assumptions!$I$5-Assumptions!$I$4)),Assumptions!$I$5))</f>
        <v>0.7</v>
      </c>
      <c r="M34" s="53">
        <f>IF(M$32=0,0,IF(M$32&lt;=$C$28,IF(M$32&lt;=2,Assumptions!$I$4,Assumptions!$I$4+(M$32-2)/MAX($C$28-2,1)*(Assumptions!$I$5-Assumptions!$I$4)),Assumptions!$I$5))</f>
        <v>0.7</v>
      </c>
      <c r="P34" s="51" t="s">
        <v>783</v>
      </c>
      <c r="Q34" s="66">
        <v>1077.6989000000001</v>
      </c>
    </row>
    <row r="35" spans="2:17" ht="15" customHeight="1" x14ac:dyDescent="0.35">
      <c r="B35" s="51" t="s">
        <v>721</v>
      </c>
      <c r="C35" s="53">
        <f>IF(C$32=0,0,IF(C$32&lt;=$C$28,IF(C$32&lt;=2,Assumptions!$I$6,Assumptions!$I$7),Assumptions!$I$8))</f>
        <v>0</v>
      </c>
      <c r="D35" s="53">
        <f>IF(D$32=0,0,IF(D$32&lt;=$C$28,IF(D$32&lt;=2,Assumptions!$I$6,Assumptions!$I$7),Assumptions!$I$8))</f>
        <v>0.5</v>
      </c>
      <c r="E35" s="53">
        <f>IF(E$32=0,0,IF(E$32&lt;=$C$28,IF(E$32&lt;=2,Assumptions!$I$6,Assumptions!$I$7),Assumptions!$I$8))</f>
        <v>0.5</v>
      </c>
      <c r="F35" s="53">
        <f>IF(F$32=0,0,IF(F$32&lt;=$C$28,IF(F$32&lt;=2,Assumptions!$I$6,Assumptions!$I$7),Assumptions!$I$8))</f>
        <v>0.38</v>
      </c>
      <c r="G35" s="53">
        <f>IF(G$32=0,0,IF(G$32&lt;=$C$28,IF(G$32&lt;=2,Assumptions!$I$6,Assumptions!$I$7),Assumptions!$I$8))</f>
        <v>0.3</v>
      </c>
      <c r="H35" s="53">
        <f>IF(H$32=0,0,IF(H$32&lt;=$C$28,IF(H$32&lt;=2,Assumptions!$I$6,Assumptions!$I$7),Assumptions!$I$8))</f>
        <v>0.3</v>
      </c>
      <c r="I35" s="53">
        <f>IF(I$32=0,0,IF(I$32&lt;=$C$28,IF(I$32&lt;=2,Assumptions!$I$6,Assumptions!$I$7),Assumptions!$I$8))</f>
        <v>0.3</v>
      </c>
      <c r="J35" s="53">
        <f>IF(J$32=0,0,IF(J$32&lt;=$C$28,IF(J$32&lt;=2,Assumptions!$I$6,Assumptions!$I$7),Assumptions!$I$8))</f>
        <v>0.3</v>
      </c>
      <c r="K35" s="53">
        <f>IF(K$32=0,0,IF(K$32&lt;=$C$28,IF(K$32&lt;=2,Assumptions!$I$6,Assumptions!$I$7),Assumptions!$I$8))</f>
        <v>0.3</v>
      </c>
      <c r="L35" s="53">
        <f>IF(L$32=0,0,IF(L$32&lt;=$C$28,IF(L$32&lt;=2,Assumptions!$I$6,Assumptions!$I$7),Assumptions!$I$8))</f>
        <v>0.3</v>
      </c>
      <c r="M35" s="53">
        <f>IF(M$32=0,0,IF(M$32&lt;=$C$28,IF(M$32&lt;=2,Assumptions!$I$6,Assumptions!$I$7),Assumptions!$I$8))</f>
        <v>0.3</v>
      </c>
      <c r="P35" s="51" t="s">
        <v>784</v>
      </c>
      <c r="Q35" s="66">
        <v>2904.3537000000001</v>
      </c>
    </row>
    <row r="36" spans="2:17" ht="15" customHeight="1" x14ac:dyDescent="0.35">
      <c r="B36" s="51" t="s">
        <v>722</v>
      </c>
      <c r="C36" s="55">
        <f t="shared" ref="C36:M36" si="7">C34*C33</f>
        <v>0</v>
      </c>
      <c r="D36" s="55">
        <f t="shared" si="7"/>
        <v>15</v>
      </c>
      <c r="E36" s="55">
        <f t="shared" si="7"/>
        <v>55.883808030591481</v>
      </c>
      <c r="F36" s="55">
        <f t="shared" si="7"/>
        <v>242.90000000000003</v>
      </c>
      <c r="G36" s="55">
        <f t="shared" si="7"/>
        <v>359.49200000000002</v>
      </c>
      <c r="H36" s="55">
        <f t="shared" si="7"/>
        <v>481.71928000000003</v>
      </c>
      <c r="I36" s="55">
        <f t="shared" si="7"/>
        <v>539.52559360000009</v>
      </c>
      <c r="J36" s="55">
        <f t="shared" si="7"/>
        <v>604.26866483200013</v>
      </c>
      <c r="K36" s="55">
        <f t="shared" si="7"/>
        <v>676.78090461184024</v>
      </c>
      <c r="L36" s="55">
        <f t="shared" si="7"/>
        <v>757.99461316526106</v>
      </c>
      <c r="M36" s="55">
        <f t="shared" si="7"/>
        <v>848.95396674509254</v>
      </c>
      <c r="P36" s="51" t="s">
        <v>785</v>
      </c>
      <c r="Q36" s="66">
        <v>1849.1016</v>
      </c>
    </row>
    <row r="37" spans="2:17" ht="15" customHeight="1" x14ac:dyDescent="0.35">
      <c r="B37" s="51" t="s">
        <v>723</v>
      </c>
      <c r="C37" s="55">
        <f t="shared" ref="C37:M37" si="8">C35*C33</f>
        <v>0</v>
      </c>
      <c r="D37" s="55">
        <f t="shared" si="8"/>
        <v>12.5</v>
      </c>
      <c r="E37" s="55">
        <f t="shared" si="8"/>
        <v>46.569840025492901</v>
      </c>
      <c r="F37" s="55">
        <f t="shared" si="8"/>
        <v>131.86000000000001</v>
      </c>
      <c r="G37" s="55">
        <f t="shared" si="8"/>
        <v>154.06800000000001</v>
      </c>
      <c r="H37" s="55">
        <f t="shared" si="8"/>
        <v>206.45112000000003</v>
      </c>
      <c r="I37" s="55">
        <f t="shared" si="8"/>
        <v>231.22525440000004</v>
      </c>
      <c r="J37" s="55">
        <f t="shared" si="8"/>
        <v>258.97228492800008</v>
      </c>
      <c r="K37" s="55">
        <f t="shared" si="8"/>
        <v>290.04895911936012</v>
      </c>
      <c r="L37" s="55">
        <f t="shared" si="8"/>
        <v>324.85483421368332</v>
      </c>
      <c r="M37" s="55">
        <f t="shared" si="8"/>
        <v>363.83741431932538</v>
      </c>
      <c r="P37" s="51" t="s">
        <v>786</v>
      </c>
      <c r="Q37" s="66">
        <v>4334.3397999999997</v>
      </c>
    </row>
    <row r="38" spans="2:17" ht="15" customHeight="1" x14ac:dyDescent="0.35">
      <c r="B38" s="51" t="s">
        <v>724</v>
      </c>
      <c r="C38" s="55">
        <f>Assumptions!$I$12+Assumptions!$I$13*C33</f>
        <v>5</v>
      </c>
      <c r="D38" s="55">
        <f>Assumptions!$I$12+Assumptions!$I$13*D33</f>
        <v>5.5</v>
      </c>
      <c r="E38" s="55">
        <f>Assumptions!$I$12+Assumptions!$I$13*E33</f>
        <v>6.8627936010197157</v>
      </c>
      <c r="F38" s="55">
        <f>Assumptions!$I$12+Assumptions!$I$13*F33</f>
        <v>11.940000000000001</v>
      </c>
      <c r="G38" s="55">
        <f>Assumptions!$I$12+Assumptions!$I$13*G33</f>
        <v>15.271200000000002</v>
      </c>
      <c r="H38" s="55">
        <f>Assumptions!$I$12+Assumptions!$I$13*H33</f>
        <v>18.763408000000002</v>
      </c>
      <c r="I38" s="55">
        <f>Assumptions!$I$12+Assumptions!$I$13*I33</f>
        <v>20.415016960000003</v>
      </c>
      <c r="J38" s="55">
        <f>Assumptions!$I$12+Assumptions!$I$13*J33</f>
        <v>22.264818995200006</v>
      </c>
      <c r="K38" s="55">
        <f>Assumptions!$I$12+Assumptions!$I$13*K33</f>
        <v>24.336597274624008</v>
      </c>
      <c r="L38" s="55">
        <f>Assumptions!$I$12+Assumptions!$I$13*L33</f>
        <v>26.656988947578888</v>
      </c>
      <c r="M38" s="55">
        <f>Assumptions!$I$12+Assumptions!$I$13*M33</f>
        <v>29.255827621288358</v>
      </c>
      <c r="P38" s="51" t="s">
        <v>787</v>
      </c>
      <c r="Q38" s="53">
        <v>0.83630000000000004</v>
      </c>
    </row>
    <row r="39" spans="2:17" ht="15" customHeight="1" x14ac:dyDescent="0.35">
      <c r="B39" s="51" t="s">
        <v>725</v>
      </c>
      <c r="C39" s="55">
        <f>IF(C$32=0,0.5*Assumptions!$I$10,MAX(Assumptions!$I$10,Assumptions!$I$11*C33))</f>
        <v>10</v>
      </c>
      <c r="D39" s="55">
        <f>IF(D$32=0,0.5*Assumptions!$I$10,MAX(Assumptions!$I$10,Assumptions!$I$11*D33))</f>
        <v>20</v>
      </c>
      <c r="E39" s="55">
        <f>IF(E$32=0,0.5*Assumptions!$I$10,MAX(Assumptions!$I$10,Assumptions!$I$11*E33))</f>
        <v>20</v>
      </c>
      <c r="F39" s="55">
        <f>IF(F$32=0,0.5*Assumptions!$I$10,MAX(Assumptions!$I$10,Assumptions!$I$11*F33))</f>
        <v>26.025000000000002</v>
      </c>
      <c r="G39" s="55">
        <f>IF(G$32=0,0.5*Assumptions!$I$10,MAX(Assumptions!$I$10,Assumptions!$I$11*G33))</f>
        <v>38.517000000000003</v>
      </c>
      <c r="H39" s="55">
        <f>IF(H$32=0,0.5*Assumptions!$I$10,MAX(Assumptions!$I$10,Assumptions!$I$11*H33))</f>
        <v>51.612780000000008</v>
      </c>
      <c r="I39" s="55">
        <f>IF(I$32=0,0.5*Assumptions!$I$10,MAX(Assumptions!$I$10,Assumptions!$I$11*I33))</f>
        <v>57.80631360000001</v>
      </c>
      <c r="J39" s="55">
        <f>IF(J$32=0,0.5*Assumptions!$I$10,MAX(Assumptions!$I$10,Assumptions!$I$11*J33))</f>
        <v>64.74307123200002</v>
      </c>
      <c r="K39" s="55">
        <f>IF(K$32=0,0.5*Assumptions!$I$10,MAX(Assumptions!$I$10,Assumptions!$I$11*K33))</f>
        <v>72.51223977984003</v>
      </c>
      <c r="L39" s="55">
        <f>IF(L$32=0,0.5*Assumptions!$I$10,MAX(Assumptions!$I$10,Assumptions!$I$11*L33))</f>
        <v>81.21370855342083</v>
      </c>
      <c r="M39" s="55">
        <f>IF(M$32=0,0.5*Assumptions!$I$10,MAX(Assumptions!$I$10,Assumptions!$I$11*M33))</f>
        <v>90.959353579831344</v>
      </c>
      <c r="P39" s="51" t="s">
        <v>788</v>
      </c>
      <c r="Q39" s="72">
        <v>10000</v>
      </c>
    </row>
    <row r="40" spans="2:17" ht="15" customHeight="1" x14ac:dyDescent="0.35">
      <c r="B40" s="51" t="s">
        <v>726</v>
      </c>
      <c r="C40" s="55">
        <f>IF(C$32=0,0,Assumptions!$I$9*C33)</f>
        <v>0</v>
      </c>
      <c r="D40" s="55">
        <f>IF(D$32=0,0,Assumptions!$I$9*D33)</f>
        <v>6.25</v>
      </c>
      <c r="E40" s="55">
        <f>IF(E$32=0,0,Assumptions!$I$9*E33)</f>
        <v>23.284920012746451</v>
      </c>
      <c r="F40" s="55">
        <f>IF(F$32=0,0,Assumptions!$I$9*F33)</f>
        <v>86.750000000000014</v>
      </c>
      <c r="G40" s="55">
        <f>IF(G$32=0,0,Assumptions!$I$9*G33)</f>
        <v>128.39000000000001</v>
      </c>
      <c r="H40" s="55">
        <f>IF(H$32=0,0,Assumptions!$I$9*H33)</f>
        <v>172.04260000000002</v>
      </c>
      <c r="I40" s="55">
        <f>IF(I$32=0,0,Assumptions!$I$9*I33)</f>
        <v>192.68771200000003</v>
      </c>
      <c r="J40" s="55">
        <f>IF(J$32=0,0,Assumptions!$I$9*J33)</f>
        <v>215.81023744000007</v>
      </c>
      <c r="K40" s="55">
        <f>IF(K$32=0,0,Assumptions!$I$9*K33)</f>
        <v>241.70746593280009</v>
      </c>
      <c r="L40" s="55">
        <f>IF(L$32=0,0,Assumptions!$I$9*L33)</f>
        <v>270.71236184473611</v>
      </c>
      <c r="M40" s="55">
        <f>IF(M$32=0,0,Assumptions!$I$9*M33)</f>
        <v>303.19784526610448</v>
      </c>
    </row>
    <row r="41" spans="2:17" ht="15" customHeight="1" x14ac:dyDescent="0.35">
      <c r="B41" s="51" t="s">
        <v>727</v>
      </c>
      <c r="C41" s="55">
        <f t="shared" ref="C41:M41" si="9">C36-C37-C40-C39-C38</f>
        <v>-15</v>
      </c>
      <c r="D41" s="55">
        <f t="shared" si="9"/>
        <v>-29.25</v>
      </c>
      <c r="E41" s="55">
        <f t="shared" si="9"/>
        <v>-40.833745608667584</v>
      </c>
      <c r="F41" s="55">
        <f t="shared" si="9"/>
        <v>-13.674999999999997</v>
      </c>
      <c r="G41" s="55">
        <f t="shared" si="9"/>
        <v>23.245799999999988</v>
      </c>
      <c r="H41" s="55">
        <f t="shared" si="9"/>
        <v>32.849371999999931</v>
      </c>
      <c r="I41" s="55">
        <f t="shared" si="9"/>
        <v>37.391296640000007</v>
      </c>
      <c r="J41" s="55">
        <f t="shared" si="9"/>
        <v>42.47825223679996</v>
      </c>
      <c r="K41" s="55">
        <f t="shared" si="9"/>
        <v>48.17564250521599</v>
      </c>
      <c r="L41" s="55">
        <f t="shared" si="9"/>
        <v>54.556719605841913</v>
      </c>
      <c r="M41" s="55">
        <f t="shared" si="9"/>
        <v>61.703525958542983</v>
      </c>
    </row>
    <row r="42" spans="2:17" ht="15" customHeight="1" x14ac:dyDescent="0.35">
      <c r="B42" s="51" t="s">
        <v>728</v>
      </c>
      <c r="C42" s="55">
        <f t="shared" ref="C42:M42" si="10">IF(C$32&lt;=$C$28,C40,C36-C37-C39-C38-C43)</f>
        <v>0</v>
      </c>
      <c r="D42" s="55">
        <f t="shared" si="10"/>
        <v>6.25</v>
      </c>
      <c r="E42" s="55">
        <f t="shared" si="10"/>
        <v>23.284920012746451</v>
      </c>
      <c r="F42" s="55">
        <f t="shared" si="10"/>
        <v>86.750000000000014</v>
      </c>
      <c r="G42" s="55">
        <f t="shared" si="10"/>
        <v>116.71372000000001</v>
      </c>
      <c r="H42" s="55">
        <f t="shared" si="10"/>
        <v>135.38676159999994</v>
      </c>
      <c r="I42" s="55">
        <f t="shared" si="10"/>
        <v>126.79839500800001</v>
      </c>
      <c r="J42" s="55">
        <f t="shared" si="10"/>
        <v>114.12725106687995</v>
      </c>
      <c r="K42" s="55">
        <f t="shared" si="10"/>
        <v>96.517135691776019</v>
      </c>
      <c r="L42" s="55">
        <f t="shared" si="10"/>
        <v>108.69919197478913</v>
      </c>
      <c r="M42" s="55">
        <f t="shared" si="10"/>
        <v>122.34309501176386</v>
      </c>
    </row>
    <row r="43" spans="2:17" ht="15" customHeight="1" x14ac:dyDescent="0.35">
      <c r="B43" s="51" t="s">
        <v>729</v>
      </c>
      <c r="C43" s="55">
        <f>IF(C$32&lt;=$C$28,C41,($C$52+(Assumptions!$I$18-$C$52)*MIN(MAX(C$32-$C$28,0)/Assumptions!$D$33,1))*C33)</f>
        <v>-15</v>
      </c>
      <c r="D43" s="55">
        <f>IF(D$32&lt;=$C$28,D41,($C$52+(Assumptions!$I$18-$C$52)*MIN(MAX(D$32-$C$28,0)/Assumptions!$D$33,1))*D33)</f>
        <v>-29.25</v>
      </c>
      <c r="E43" s="55">
        <f>IF(E$32&lt;=$C$28,E41,($C$52+(Assumptions!$I$18-$C$52)*MIN(MAX(E$32-$C$28,0)/Assumptions!$D$33,1))*E33)</f>
        <v>-40.833745608667584</v>
      </c>
      <c r="F43" s="55">
        <f>IF(F$32&lt;=$C$28,F41,($C$52+(Assumptions!$I$18-$C$52)*MIN(MAX(F$32-$C$28,0)/Assumptions!$D$33,1))*F33)</f>
        <v>-13.674999999999997</v>
      </c>
      <c r="G43" s="55">
        <f>IF(G$32&lt;=$C$28,G41,($C$52+(Assumptions!$I$18-$C$52)*MIN(MAX(G$32-$C$28,0)/Assumptions!$D$33,1))*G33)</f>
        <v>34.922080000000008</v>
      </c>
      <c r="H43" s="55">
        <f>IF(H$32&lt;=$C$28,H41,($C$52+(Assumptions!$I$18-$C$52)*MIN(MAX(H$32-$C$28,0)/Assumptions!$D$33,1))*H33)</f>
        <v>69.50521040000001</v>
      </c>
      <c r="I43" s="55">
        <f>IF(I$32&lt;=$C$28,I41,($C$52+(Assumptions!$I$18-$C$52)*MIN(MAX(I$32-$C$28,0)/Assumptions!$D$33,1))*I33)</f>
        <v>103.28061363200003</v>
      </c>
      <c r="J43" s="55">
        <f>IF(J$32&lt;=$C$28,J41,($C$52+(Assumptions!$I$18-$C$52)*MIN(MAX(J$32-$C$28,0)/Assumptions!$D$33,1))*J33)</f>
        <v>144.16123860992005</v>
      </c>
      <c r="K43" s="55">
        <f>IF(K$32&lt;=$C$28,K41,($C$52+(Assumptions!$I$18-$C$52)*MIN(MAX(K$32-$C$28,0)/Assumptions!$D$33,1))*K33)</f>
        <v>193.36597274624009</v>
      </c>
      <c r="L43" s="55">
        <f>IF(L$32&lt;=$C$28,L41,($C$52+(Assumptions!$I$18-$C$52)*MIN(MAX(L$32-$C$28,0)/Assumptions!$D$33,1))*L33)</f>
        <v>216.5698894757889</v>
      </c>
      <c r="M43" s="55">
        <f>IF(M$32&lt;=$C$28,M41,($C$52+(Assumptions!$I$18-$C$52)*MIN(MAX(M$32-$C$28,0)/Assumptions!$D$33,1))*M33)</f>
        <v>242.55827621288358</v>
      </c>
    </row>
    <row r="44" spans="2:17" ht="15" customHeight="1" x14ac:dyDescent="0.35">
      <c r="B44" s="51" t="s">
        <v>730</v>
      </c>
      <c r="C44" s="55">
        <f>Assumptions!$I$14/365*C33</f>
        <v>0</v>
      </c>
      <c r="D44" s="55">
        <f>Assumptions!$I$14/365*D33</f>
        <v>2.054794520547945</v>
      </c>
      <c r="E44" s="55">
        <f>Assumptions!$I$14/365*E33</f>
        <v>7.6553161685741751</v>
      </c>
      <c r="F44" s="55">
        <f>Assumptions!$I$14/365*F33</f>
        <v>28.520547945205482</v>
      </c>
      <c r="G44" s="55">
        <f>Assumptions!$I$14/365*G33</f>
        <v>42.210410958904113</v>
      </c>
      <c r="H44" s="55">
        <f>Assumptions!$I$14/365*H33</f>
        <v>56.56195068493151</v>
      </c>
      <c r="I44" s="55">
        <f>Assumptions!$I$14/365*I33</f>
        <v>63.349384767123297</v>
      </c>
      <c r="J44" s="55">
        <f>Assumptions!$I$14/365*J33</f>
        <v>70.9513109391781</v>
      </c>
      <c r="K44" s="55">
        <f>Assumptions!$I$14/365*K33</f>
        <v>79.465468251879471</v>
      </c>
      <c r="L44" s="55">
        <f>Assumptions!$I$14/365*L33</f>
        <v>89.001324442105016</v>
      </c>
      <c r="M44" s="55">
        <f>Assumptions!$I$14/365*M33</f>
        <v>99.681483375157626</v>
      </c>
    </row>
    <row r="45" spans="2:17" ht="15" customHeight="1" x14ac:dyDescent="0.35">
      <c r="B45" s="51" t="s">
        <v>731</v>
      </c>
      <c r="C45" s="55">
        <f>C44</f>
        <v>0</v>
      </c>
      <c r="D45" s="55">
        <f t="shared" ref="D45:M45" si="11">D44-C44</f>
        <v>2.054794520547945</v>
      </c>
      <c r="E45" s="55">
        <f t="shared" si="11"/>
        <v>5.6005216480262305</v>
      </c>
      <c r="F45" s="55">
        <f t="shared" si="11"/>
        <v>20.865231776631308</v>
      </c>
      <c r="G45" s="55">
        <f t="shared" si="11"/>
        <v>13.689863013698631</v>
      </c>
      <c r="H45" s="55">
        <f t="shared" si="11"/>
        <v>14.351539726027397</v>
      </c>
      <c r="I45" s="55">
        <f t="shared" si="11"/>
        <v>6.7874340821917869</v>
      </c>
      <c r="J45" s="55">
        <f t="shared" si="11"/>
        <v>7.601926172054803</v>
      </c>
      <c r="K45" s="55">
        <f t="shared" si="11"/>
        <v>8.5141573127013714</v>
      </c>
      <c r="L45" s="55">
        <f t="shared" si="11"/>
        <v>9.5358561902255445</v>
      </c>
      <c r="M45" s="55">
        <f t="shared" si="11"/>
        <v>10.68015893305261</v>
      </c>
    </row>
    <row r="46" spans="2:17" ht="15" customHeight="1" x14ac:dyDescent="0.35">
      <c r="B46" s="51" t="s">
        <v>732</v>
      </c>
      <c r="C46" s="55">
        <f t="shared" ref="C46:M46" si="12">C43-C45</f>
        <v>-15</v>
      </c>
      <c r="D46" s="55">
        <f t="shared" si="12"/>
        <v>-31.304794520547944</v>
      </c>
      <c r="E46" s="55">
        <f t="shared" si="12"/>
        <v>-46.434267256693815</v>
      </c>
      <c r="F46" s="55">
        <f t="shared" si="12"/>
        <v>-34.540231776631302</v>
      </c>
      <c r="G46" s="55">
        <f t="shared" si="12"/>
        <v>21.232216986301378</v>
      </c>
      <c r="H46" s="55">
        <f t="shared" si="12"/>
        <v>55.153670673972613</v>
      </c>
      <c r="I46" s="55">
        <f t="shared" si="12"/>
        <v>96.493179549808247</v>
      </c>
      <c r="J46" s="55">
        <f t="shared" si="12"/>
        <v>136.55931243786523</v>
      </c>
      <c r="K46" s="55">
        <f t="shared" si="12"/>
        <v>184.85181543353872</v>
      </c>
      <c r="L46" s="55">
        <f t="shared" si="12"/>
        <v>207.03403328556334</v>
      </c>
      <c r="M46" s="55">
        <f t="shared" si="12"/>
        <v>231.87811727983097</v>
      </c>
    </row>
    <row r="47" spans="2:17" ht="15" customHeight="1" x14ac:dyDescent="0.35">
      <c r="B47" s="51" t="s">
        <v>733</v>
      </c>
      <c r="C47" s="55">
        <f t="shared" ref="C47:M47" si="13">MAX(-C46,0)</f>
        <v>15</v>
      </c>
      <c r="D47" s="55">
        <f t="shared" si="13"/>
        <v>31.304794520547944</v>
      </c>
      <c r="E47" s="55">
        <f t="shared" si="13"/>
        <v>46.434267256693815</v>
      </c>
      <c r="F47" s="55">
        <f t="shared" si="13"/>
        <v>34.540231776631302</v>
      </c>
      <c r="G47" s="55">
        <f t="shared" si="13"/>
        <v>0</v>
      </c>
      <c r="H47" s="55">
        <f t="shared" si="13"/>
        <v>0</v>
      </c>
      <c r="I47" s="55">
        <f t="shared" si="13"/>
        <v>0</v>
      </c>
      <c r="J47" s="55">
        <f t="shared" si="13"/>
        <v>0</v>
      </c>
      <c r="K47" s="55">
        <f t="shared" si="13"/>
        <v>0</v>
      </c>
      <c r="L47" s="55">
        <f t="shared" si="13"/>
        <v>0</v>
      </c>
      <c r="M47" s="55">
        <f t="shared" si="13"/>
        <v>0</v>
      </c>
    </row>
    <row r="48" spans="2:17" ht="15" customHeight="1" x14ac:dyDescent="0.35">
      <c r="B48" s="51" t="s">
        <v>734</v>
      </c>
      <c r="C48" s="55">
        <f>C46</f>
        <v>-15</v>
      </c>
      <c r="D48" s="55">
        <f t="shared" ref="D48:M48" si="14">C48+D46</f>
        <v>-46.304794520547944</v>
      </c>
      <c r="E48" s="55">
        <f t="shared" si="14"/>
        <v>-92.739061777241758</v>
      </c>
      <c r="F48" s="55">
        <f t="shared" si="14"/>
        <v>-127.27929355387306</v>
      </c>
      <c r="G48" s="55">
        <f t="shared" si="14"/>
        <v>-106.04707656757168</v>
      </c>
      <c r="H48" s="55">
        <f t="shared" si="14"/>
        <v>-50.893405893599066</v>
      </c>
      <c r="I48" s="55">
        <f t="shared" si="14"/>
        <v>45.59977365620918</v>
      </c>
      <c r="J48" s="55">
        <f t="shared" si="14"/>
        <v>182.15908609407441</v>
      </c>
      <c r="K48" s="55">
        <f t="shared" si="14"/>
        <v>367.0109015276131</v>
      </c>
      <c r="L48" s="55">
        <f t="shared" si="14"/>
        <v>574.0449348131765</v>
      </c>
      <c r="M48" s="55">
        <f t="shared" si="14"/>
        <v>805.92305209300753</v>
      </c>
    </row>
    <row r="49" spans="2:13" ht="15" customHeight="1" x14ac:dyDescent="0.35">
      <c r="B49" s="51" t="s">
        <v>735</v>
      </c>
      <c r="C49" s="56">
        <f>(1+Assumptions!$I$15)^(-C$32)</f>
        <v>1</v>
      </c>
      <c r="D49" s="56">
        <f>(1+Assumptions!$I$15)^(-D$32)</f>
        <v>0.89847259658580414</v>
      </c>
      <c r="E49" s="56">
        <f>(1+Assumptions!$I$15)^(-E$32)</f>
        <v>0.80725300681563716</v>
      </c>
      <c r="F49" s="56">
        <f>(1+Assumptions!$I$15)^(-F$32)</f>
        <v>0.72529470513534333</v>
      </c>
      <c r="G49" s="56">
        <f>(1+Assumptions!$I$15)^(-G$32)</f>
        <v>0.65165741701288704</v>
      </c>
      <c r="H49" s="56">
        <f>(1+Assumptions!$I$15)^(-H$32)</f>
        <v>0.58549633154796688</v>
      </c>
      <c r="I49" s="56">
        <f>(1+Assumptions!$I$15)^(-I$32)</f>
        <v>0.52605240929736463</v>
      </c>
      <c r="J49" s="56">
        <f>(1+Assumptions!$I$15)^(-J$32)</f>
        <v>0.47264367412162139</v>
      </c>
      <c r="K49" s="56">
        <f>(1+Assumptions!$I$15)^(-K$32)</f>
        <v>0.42465738914790779</v>
      </c>
      <c r="L49" s="56">
        <f>(1+Assumptions!$I$15)^(-L$32)</f>
        <v>0.381543027087069</v>
      </c>
      <c r="M49" s="56">
        <f>(1+Assumptions!$I$15)^(-M$32)</f>
        <v>0.34280595425612664</v>
      </c>
    </row>
    <row r="50" spans="2:13" ht="15" customHeight="1" x14ac:dyDescent="0.35">
      <c r="B50" s="51" t="s">
        <v>736</v>
      </c>
      <c r="C50" s="55">
        <f>Assumptions!$I$19*(1+Assumptions!$I$16)^C$32</f>
        <v>690</v>
      </c>
      <c r="D50" s="55">
        <f>Assumptions!$I$19*(1+Assumptions!$I$16)^D$32</f>
        <v>772.80000000000007</v>
      </c>
      <c r="E50" s="55">
        <f>Assumptions!$I$19*(1+Assumptions!$I$16)^E$32</f>
        <v>865.53600000000017</v>
      </c>
      <c r="F50" s="55">
        <f>Assumptions!$I$19*(1+Assumptions!$I$16)^F$32</f>
        <v>969.40032000000031</v>
      </c>
      <c r="G50" s="55">
        <f>Assumptions!$I$19*(1+Assumptions!$I$16)^G$32</f>
        <v>1085.7283584000002</v>
      </c>
      <c r="H50" s="55">
        <f>Assumptions!$I$19*(1+Assumptions!$I$16)^H$32</f>
        <v>1216.0157614080003</v>
      </c>
      <c r="I50" s="55">
        <f>Assumptions!$I$19*(1+Assumptions!$I$16)^I$32</f>
        <v>1361.9376527769605</v>
      </c>
      <c r="J50" s="55">
        <f>Assumptions!$I$19*(1+Assumptions!$I$16)^J$32</f>
        <v>1525.3701711101958</v>
      </c>
      <c r="K50" s="55">
        <f>Assumptions!$I$19*(1+Assumptions!$I$16)^K$32</f>
        <v>1708.4145916434195</v>
      </c>
      <c r="L50" s="55">
        <f>Assumptions!$I$19*(1+Assumptions!$I$16)^L$32</f>
        <v>1913.4243426406299</v>
      </c>
      <c r="M50" s="55">
        <f>Assumptions!$I$19*(1+Assumptions!$I$16)^M$32</f>
        <v>2143.0352637575056</v>
      </c>
    </row>
    <row r="51" spans="2:13" ht="15" customHeight="1" x14ac:dyDescent="0.35">
      <c r="B51" s="51" t="s">
        <v>737</v>
      </c>
      <c r="C51" s="55">
        <f>(Assumptions!$D$30+(Assumptions!$I$18-Assumptions!$D$30)*MIN(C$32/Assumptions!$D$33,1))*C50</f>
        <v>24.150000000000002</v>
      </c>
      <c r="D51" s="55">
        <f>(Assumptions!$D$30+(Assumptions!$I$18-Assumptions!$D$30)*MIN(D$32/Assumptions!$D$33,1))*D50</f>
        <v>52.55040000000001</v>
      </c>
      <c r="E51" s="55">
        <f>(Assumptions!$D$30+(Assumptions!$I$18-Assumptions!$D$30)*MIN(E$32/Assumptions!$D$33,1))*E50</f>
        <v>87.419136000000023</v>
      </c>
      <c r="F51" s="55">
        <f>(Assumptions!$D$30+(Assumptions!$I$18-Assumptions!$D$30)*MIN(F$32/Assumptions!$D$33,1))*F50</f>
        <v>129.89964288000004</v>
      </c>
      <c r="G51" s="55">
        <f>(Assumptions!$D$30+(Assumptions!$I$18-Assumptions!$D$30)*MIN(G$32/Assumptions!$D$33,1))*G50</f>
        <v>181.31663585280003</v>
      </c>
      <c r="H51" s="55">
        <f>(Assumptions!$D$30+(Assumptions!$I$18-Assumptions!$D$30)*MIN(H$32/Assumptions!$D$33,1))*H50</f>
        <v>243.20315228160007</v>
      </c>
      <c r="I51" s="55">
        <f>(Assumptions!$D$30+(Assumptions!$I$18-Assumptions!$D$30)*MIN(I$32/Assumptions!$D$33,1))*I50</f>
        <v>272.38753055539212</v>
      </c>
      <c r="J51" s="55">
        <f>(Assumptions!$D$30+(Assumptions!$I$18-Assumptions!$D$30)*MIN(J$32/Assumptions!$D$33,1))*J50</f>
        <v>305.07403422203919</v>
      </c>
      <c r="K51" s="55">
        <f>(Assumptions!$D$30+(Assumptions!$I$18-Assumptions!$D$30)*MIN(K$32/Assumptions!$D$33,1))*K50</f>
        <v>341.68291832868391</v>
      </c>
      <c r="L51" s="55">
        <f>(Assumptions!$D$30+(Assumptions!$I$18-Assumptions!$D$30)*MIN(L$32/Assumptions!$D$33,1))*L50</f>
        <v>382.684868528126</v>
      </c>
      <c r="M51" s="55">
        <f>(Assumptions!$D$30+(Assumptions!$I$18-Assumptions!$D$30)*MIN(M$32/Assumptions!$D$33,1))*M50</f>
        <v>428.60705275150116</v>
      </c>
    </row>
    <row r="52" spans="2:13" ht="15" customHeight="1" x14ac:dyDescent="0.35">
      <c r="B52" s="51" t="s">
        <v>738</v>
      </c>
      <c r="C52" s="53">
        <f>MAX(Assumptions!$D$30,INDEX(C41:M41,$C$28+1)/INDEX(C33:M33,$C$28+1))</f>
        <v>3.5000000000000003E-2</v>
      </c>
    </row>
    <row r="54" spans="2:13" ht="15" customHeight="1" x14ac:dyDescent="0.35">
      <c r="B54" s="51" t="s">
        <v>739</v>
      </c>
      <c r="C54" s="57">
        <f>SUMPRODUCT($C$47:$M$47,$C$49:$M$49,($C$32:$M$32&lt;=$C$28)*1)</f>
        <v>105.66254910244696</v>
      </c>
    </row>
    <row r="55" spans="2:13" ht="15" customHeight="1" x14ac:dyDescent="0.35">
      <c r="B55" s="51" t="s">
        <v>740</v>
      </c>
      <c r="C55" s="57">
        <f>-MIN($C$48:$M$48)</f>
        <v>127.27929355387306</v>
      </c>
    </row>
    <row r="56" spans="2:13" ht="15" customHeight="1" x14ac:dyDescent="0.35">
      <c r="B56" s="51" t="s">
        <v>741</v>
      </c>
      <c r="C56" s="58">
        <f>Assumptions!$I$17</f>
        <v>0.11</v>
      </c>
    </row>
    <row r="57" spans="2:13" ht="15" customHeight="1" x14ac:dyDescent="0.35">
      <c r="B57" s="59" t="s">
        <v>742</v>
      </c>
      <c r="C57" s="60">
        <f>$C$54/$C$56</f>
        <v>960.56862820406332</v>
      </c>
    </row>
    <row r="58" spans="2:13" ht="15" customHeight="1" x14ac:dyDescent="0.35">
      <c r="B58" s="51" t="s">
        <v>743</v>
      </c>
      <c r="C58" s="57">
        <f>SUMPRODUCT($C$51:$M$51-$C$43:$M$43*($C$32:$M$32&gt;$C$28),$C$49:$M$49,($C$32:$M$32&gt;=1)*1)</f>
        <v>764.25462702634263</v>
      </c>
    </row>
    <row r="59" spans="2:13" ht="15" customHeight="1" x14ac:dyDescent="0.35">
      <c r="B59" s="51" t="s">
        <v>744</v>
      </c>
      <c r="C59" s="57">
        <f>$M$50-$M$33</f>
        <v>930.2438826930877</v>
      </c>
    </row>
    <row r="60" spans="2:13" ht="15" customHeight="1" x14ac:dyDescent="0.35">
      <c r="B60" s="51" t="s">
        <v>745</v>
      </c>
      <c r="C60" s="57">
        <f>$C$59*Assumptions!$I$18/(Assumptions!$I$15-Assumptions!$I$25)*$M$49</f>
        <v>1012.3591806270739</v>
      </c>
    </row>
    <row r="61" spans="2:13" ht="15" customHeight="1" x14ac:dyDescent="0.35">
      <c r="B61" s="59" t="s">
        <v>746</v>
      </c>
      <c r="C61" s="60">
        <f>$C$58+$C$60</f>
        <v>1776.6138076534166</v>
      </c>
    </row>
    <row r="62" spans="2:13" ht="15" customHeight="1" x14ac:dyDescent="0.35">
      <c r="B62" s="59" t="s">
        <v>747</v>
      </c>
      <c r="C62" s="60">
        <f>$C$57+$C$61</f>
        <v>2737.18243585748</v>
      </c>
    </row>
    <row r="63" spans="2:13" ht="15" customHeight="1" x14ac:dyDescent="0.35">
      <c r="B63" s="51" t="s">
        <v>748</v>
      </c>
      <c r="C63" s="57">
        <f>Assumptions!$I$21+Assumptions!$I$23+Assumptions!$I$20-Assumptions!$I$22</f>
        <v>527</v>
      </c>
    </row>
    <row r="64" spans="2:13" ht="15" customHeight="1" x14ac:dyDescent="0.35">
      <c r="B64" s="51" t="s">
        <v>749</v>
      </c>
      <c r="C64" s="57">
        <f>Assumptions!$D$29+$C$63</f>
        <v>3233.45</v>
      </c>
    </row>
    <row r="65" spans="1:13" ht="15" customHeight="1" x14ac:dyDescent="0.35">
      <c r="B65" s="59" t="s">
        <v>750</v>
      </c>
      <c r="C65" s="60">
        <f>$C$62-$C$63</f>
        <v>2210.18243585748</v>
      </c>
    </row>
    <row r="66" spans="1:13" ht="15" customHeight="1" x14ac:dyDescent="0.35">
      <c r="B66" s="51" t="s">
        <v>751</v>
      </c>
      <c r="C66" s="57">
        <f>$C$65-Assumptions!$D$29</f>
        <v>-496.26756414251986</v>
      </c>
    </row>
    <row r="67" spans="1:13" ht="15" customHeight="1" x14ac:dyDescent="0.35">
      <c r="B67" s="51" t="s">
        <v>752</v>
      </c>
      <c r="C67" s="57">
        <f>SUMPRODUCT($C$47:$M$47,$C$49:$M$49,($C$32:$M$32&lt;=$C$30)*1)</f>
        <v>105.66254910244696</v>
      </c>
    </row>
    <row r="68" spans="1:13" ht="15" customHeight="1" x14ac:dyDescent="0.35">
      <c r="B68" s="51" t="s">
        <v>753</v>
      </c>
      <c r="C68" s="57">
        <f>$C$54+(1/$C$56-1)*$C$67</f>
        <v>960.56862820406332</v>
      </c>
    </row>
    <row r="69" spans="1:13" ht="15" customHeight="1" x14ac:dyDescent="0.35">
      <c r="B69" s="51" t="s">
        <v>754</v>
      </c>
      <c r="C69" s="57">
        <f>$C$68+$C$61-$C$63</f>
        <v>2210.18243585748</v>
      </c>
    </row>
    <row r="70" spans="1:13" ht="15" customHeight="1" x14ac:dyDescent="0.35">
      <c r="B70" s="51" t="s">
        <v>755</v>
      </c>
      <c r="C70" s="57">
        <f>SUMPRODUCT($C$51:$M$51,$C$49:$M$49,($C$32:$M$32&gt;=1)*1)+$M$51*(1+Assumptions!$I$25)/(Assumptions!$I$15-Assumptions!$I$25)*$M$49</f>
        <v>3646.8877553117895</v>
      </c>
    </row>
    <row r="72" spans="1:13" ht="15" customHeight="1" x14ac:dyDescent="0.35">
      <c r="A72" s="49" t="s">
        <v>789</v>
      </c>
      <c r="B72" s="50"/>
      <c r="C72" s="50"/>
      <c r="D72" s="50"/>
      <c r="E72" s="50"/>
      <c r="F72" s="50"/>
      <c r="G72" s="50"/>
      <c r="H72" s="50"/>
      <c r="I72" s="50"/>
      <c r="J72" s="50"/>
      <c r="K72" s="50"/>
      <c r="L72" s="50"/>
      <c r="M72" s="50"/>
    </row>
    <row r="73" spans="1:13" ht="15" customHeight="1" x14ac:dyDescent="0.35">
      <c r="B73" s="51" t="s">
        <v>715</v>
      </c>
      <c r="C73" s="52">
        <f>ROUND(Sensitivity!$C$17,0)</f>
        <v>4</v>
      </c>
    </row>
    <row r="74" spans="1:13" ht="15" customHeight="1" x14ac:dyDescent="0.35">
      <c r="B74" s="51" t="s">
        <v>716</v>
      </c>
      <c r="C74" s="53">
        <f>(Assumptions!$I$26/Assumptions!$I$3)^(1/($C$73-1))</f>
        <v>2.4032363745622458</v>
      </c>
    </row>
    <row r="75" spans="1:13" ht="15" customHeight="1" x14ac:dyDescent="0.35">
      <c r="B75" s="51" t="s">
        <v>717</v>
      </c>
      <c r="C75" s="52">
        <f>INT(Assumptions!$I$24)</f>
        <v>3</v>
      </c>
    </row>
    <row r="77" spans="1:13" ht="15" customHeight="1" x14ac:dyDescent="0.35">
      <c r="B77" s="54" t="s">
        <v>718</v>
      </c>
      <c r="C77" s="54">
        <v>0</v>
      </c>
      <c r="D77" s="54">
        <v>1</v>
      </c>
      <c r="E77" s="54">
        <v>2</v>
      </c>
      <c r="F77" s="54">
        <v>3</v>
      </c>
      <c r="G77" s="54">
        <v>4</v>
      </c>
      <c r="H77" s="54">
        <v>5</v>
      </c>
      <c r="I77" s="54">
        <v>6</v>
      </c>
      <c r="J77" s="54">
        <v>7</v>
      </c>
      <c r="K77" s="54">
        <v>8</v>
      </c>
      <c r="L77" s="54">
        <v>9</v>
      </c>
      <c r="M77" s="54">
        <v>10</v>
      </c>
    </row>
    <row r="78" spans="1:13" ht="15" customHeight="1" x14ac:dyDescent="0.35">
      <c r="B78" s="51" t="s">
        <v>719</v>
      </c>
      <c r="C78" s="55">
        <f>IF(C$77=0,0,IF(C$77&lt;=$C$73,Assumptions!$I$3*$C$74^(C$77-1),0))</f>
        <v>0</v>
      </c>
      <c r="D78" s="55">
        <f>IF(D$77=0,0,IF(D$77&lt;=$C$73,Assumptions!$I$3*$C$74^(D$77-1),C78*(1+IF(D$77-$C$73=1,Assumptions!$D$31,IF(D$77-$C$73=2,Assumptions!$D$32,Assumptions!$I$16)))))</f>
        <v>25</v>
      </c>
      <c r="E78" s="55">
        <f>IF(E$77=0,0,IF(E$77&lt;=$C$73,Assumptions!$I$3*$C$74^(E$77-1),D78*(1+IF(E$77-$C$73=1,Assumptions!$D$31,IF(E$77-$C$73=2,Assumptions!$D$32,Assumptions!$I$16)))))</f>
        <v>60.080909364056147</v>
      </c>
      <c r="F78" s="55">
        <f>IF(F$77=0,0,IF(F$77&lt;=$C$73,Assumptions!$I$3*$C$74^(F$77-1),E78*(1+IF(F$77-$C$73=1,Assumptions!$D$31,IF(F$77-$C$73=2,Assumptions!$D$32,Assumptions!$I$16)))))</f>
        <v>144.38862680047717</v>
      </c>
      <c r="G78" s="55">
        <f>IF(G$77=0,0,IF(G$77&lt;=$C$73,Assumptions!$I$3*$C$74^(G$77-1),F78*(1+IF(G$77-$C$73=1,Assumptions!$D$31,IF(G$77-$C$73=2,Assumptions!$D$32,Assumptions!$I$16)))))</f>
        <v>346.99999999999989</v>
      </c>
      <c r="H78" s="55">
        <f>IF(H$77=0,0,IF(H$77&lt;=$C$73,Assumptions!$I$3*$C$74^(H$77-1),G78*(1+IF(H$77-$C$73=1,Assumptions!$D$31,IF(H$77-$C$73=2,Assumptions!$D$32,Assumptions!$I$16)))))</f>
        <v>513.55999999999983</v>
      </c>
      <c r="I78" s="55">
        <f>IF(I$77=0,0,IF(I$77&lt;=$C$73,Assumptions!$I$3*$C$74^(I$77-1),H78*(1+IF(I$77-$C$73=1,Assumptions!$D$31,IF(I$77-$C$73=2,Assumptions!$D$32,Assumptions!$I$16)))))</f>
        <v>688.17039999999986</v>
      </c>
      <c r="J78" s="55">
        <f>IF(J$77=0,0,IF(J$77&lt;=$C$73,Assumptions!$I$3*$C$74^(J$77-1),I78*(1+IF(J$77-$C$73=1,Assumptions!$D$31,IF(J$77-$C$73=2,Assumptions!$D$32,Assumptions!$I$16)))))</f>
        <v>770.75084799999991</v>
      </c>
      <c r="K78" s="55">
        <f>IF(K$77=0,0,IF(K$77&lt;=$C$73,Assumptions!$I$3*$C$74^(K$77-1),J78*(1+IF(K$77-$C$73=1,Assumptions!$D$31,IF(K$77-$C$73=2,Assumptions!$D$32,Assumptions!$I$16)))))</f>
        <v>863.24094975999992</v>
      </c>
      <c r="L78" s="55">
        <f>IF(L$77=0,0,IF(L$77&lt;=$C$73,Assumptions!$I$3*$C$74^(L$77-1),K78*(1+IF(L$77-$C$73=1,Assumptions!$D$31,IF(L$77-$C$73=2,Assumptions!$D$32,Assumptions!$I$16)))))</f>
        <v>966.82986373120002</v>
      </c>
      <c r="M78" s="55">
        <f>IF(M$77=0,0,IF(M$77&lt;=$C$73,Assumptions!$I$3*$C$74^(M$77-1),L78*(1+IF(M$77-$C$73=1,Assumptions!$D$31,IF(M$77-$C$73=2,Assumptions!$D$32,Assumptions!$I$16)))))</f>
        <v>1082.8494473789442</v>
      </c>
    </row>
    <row r="79" spans="1:13" ht="15" customHeight="1" x14ac:dyDescent="0.35">
      <c r="B79" s="51" t="s">
        <v>720</v>
      </c>
      <c r="C79" s="53">
        <f>IF(C$77=0,0,IF(C$77&lt;=$C$73,IF(C$77&lt;=2,Assumptions!$I$4,Assumptions!$I$4+(C$77-2)/MAX($C$73-2,1)*(Assumptions!$I$5-Assumptions!$I$4)),Assumptions!$I$5))</f>
        <v>0</v>
      </c>
      <c r="D79" s="53">
        <f>IF(D$77=0,0,IF(D$77&lt;=$C$73,IF(D$77&lt;=2,Assumptions!$I$4,Assumptions!$I$4+(D$77-2)/MAX($C$73-2,1)*(Assumptions!$I$5-Assumptions!$I$4)),Assumptions!$I$5))</f>
        <v>0.6</v>
      </c>
      <c r="E79" s="53">
        <f>IF(E$77=0,0,IF(E$77&lt;=$C$73,IF(E$77&lt;=2,Assumptions!$I$4,Assumptions!$I$4+(E$77-2)/MAX($C$73-2,1)*(Assumptions!$I$5-Assumptions!$I$4)),Assumptions!$I$5))</f>
        <v>0.6</v>
      </c>
      <c r="F79" s="53">
        <f>IF(F$77=0,0,IF(F$77&lt;=$C$73,IF(F$77&lt;=2,Assumptions!$I$4,Assumptions!$I$4+(F$77-2)/MAX($C$73-2,1)*(Assumptions!$I$5-Assumptions!$I$4)),Assumptions!$I$5))</f>
        <v>0.64999999999999991</v>
      </c>
      <c r="G79" s="53">
        <f>IF(G$77=0,0,IF(G$77&lt;=$C$73,IF(G$77&lt;=2,Assumptions!$I$4,Assumptions!$I$4+(G$77-2)/MAX($C$73-2,1)*(Assumptions!$I$5-Assumptions!$I$4)),Assumptions!$I$5))</f>
        <v>0.7</v>
      </c>
      <c r="H79" s="53">
        <f>IF(H$77=0,0,IF(H$77&lt;=$C$73,IF(H$77&lt;=2,Assumptions!$I$4,Assumptions!$I$4+(H$77-2)/MAX($C$73-2,1)*(Assumptions!$I$5-Assumptions!$I$4)),Assumptions!$I$5))</f>
        <v>0.7</v>
      </c>
      <c r="I79" s="53">
        <f>IF(I$77=0,0,IF(I$77&lt;=$C$73,IF(I$77&lt;=2,Assumptions!$I$4,Assumptions!$I$4+(I$77-2)/MAX($C$73-2,1)*(Assumptions!$I$5-Assumptions!$I$4)),Assumptions!$I$5))</f>
        <v>0.7</v>
      </c>
      <c r="J79" s="53">
        <f>IF(J$77=0,0,IF(J$77&lt;=$C$73,IF(J$77&lt;=2,Assumptions!$I$4,Assumptions!$I$4+(J$77-2)/MAX($C$73-2,1)*(Assumptions!$I$5-Assumptions!$I$4)),Assumptions!$I$5))</f>
        <v>0.7</v>
      </c>
      <c r="K79" s="53">
        <f>IF(K$77=0,0,IF(K$77&lt;=$C$73,IF(K$77&lt;=2,Assumptions!$I$4,Assumptions!$I$4+(K$77-2)/MAX($C$73-2,1)*(Assumptions!$I$5-Assumptions!$I$4)),Assumptions!$I$5))</f>
        <v>0.7</v>
      </c>
      <c r="L79" s="53">
        <f>IF(L$77=0,0,IF(L$77&lt;=$C$73,IF(L$77&lt;=2,Assumptions!$I$4,Assumptions!$I$4+(L$77-2)/MAX($C$73-2,1)*(Assumptions!$I$5-Assumptions!$I$4)),Assumptions!$I$5))</f>
        <v>0.7</v>
      </c>
      <c r="M79" s="53">
        <f>IF(M$77=0,0,IF(M$77&lt;=$C$73,IF(M$77&lt;=2,Assumptions!$I$4,Assumptions!$I$4+(M$77-2)/MAX($C$73-2,1)*(Assumptions!$I$5-Assumptions!$I$4)),Assumptions!$I$5))</f>
        <v>0.7</v>
      </c>
    </row>
    <row r="80" spans="1:13" ht="15" customHeight="1" x14ac:dyDescent="0.35">
      <c r="B80" s="51" t="s">
        <v>721</v>
      </c>
      <c r="C80" s="53">
        <f>IF(C$77=0,0,IF(C$77&lt;=$C$73,IF(C$77&lt;=2,Assumptions!$I$6,Assumptions!$I$7),Assumptions!$I$8))</f>
        <v>0</v>
      </c>
      <c r="D80" s="53">
        <f>IF(D$77=0,0,IF(D$77&lt;=$C$73,IF(D$77&lt;=2,Assumptions!$I$6,Assumptions!$I$7),Assumptions!$I$8))</f>
        <v>0.5</v>
      </c>
      <c r="E80" s="53">
        <f>IF(E$77=0,0,IF(E$77&lt;=$C$73,IF(E$77&lt;=2,Assumptions!$I$6,Assumptions!$I$7),Assumptions!$I$8))</f>
        <v>0.5</v>
      </c>
      <c r="F80" s="53">
        <f>IF(F$77=0,0,IF(F$77&lt;=$C$73,IF(F$77&lt;=2,Assumptions!$I$6,Assumptions!$I$7),Assumptions!$I$8))</f>
        <v>0.38</v>
      </c>
      <c r="G80" s="53">
        <f>IF(G$77=0,0,IF(G$77&lt;=$C$73,IF(G$77&lt;=2,Assumptions!$I$6,Assumptions!$I$7),Assumptions!$I$8))</f>
        <v>0.38</v>
      </c>
      <c r="H80" s="53">
        <f>IF(H$77=0,0,IF(H$77&lt;=$C$73,IF(H$77&lt;=2,Assumptions!$I$6,Assumptions!$I$7),Assumptions!$I$8))</f>
        <v>0.3</v>
      </c>
      <c r="I80" s="53">
        <f>IF(I$77=0,0,IF(I$77&lt;=$C$73,IF(I$77&lt;=2,Assumptions!$I$6,Assumptions!$I$7),Assumptions!$I$8))</f>
        <v>0.3</v>
      </c>
      <c r="J80" s="53">
        <f>IF(J$77=0,0,IF(J$77&lt;=$C$73,IF(J$77&lt;=2,Assumptions!$I$6,Assumptions!$I$7),Assumptions!$I$8))</f>
        <v>0.3</v>
      </c>
      <c r="K80" s="53">
        <f>IF(K$77=0,0,IF(K$77&lt;=$C$73,IF(K$77&lt;=2,Assumptions!$I$6,Assumptions!$I$7),Assumptions!$I$8))</f>
        <v>0.3</v>
      </c>
      <c r="L80" s="53">
        <f>IF(L$77=0,0,IF(L$77&lt;=$C$73,IF(L$77&lt;=2,Assumptions!$I$6,Assumptions!$I$7),Assumptions!$I$8))</f>
        <v>0.3</v>
      </c>
      <c r="M80" s="53">
        <f>IF(M$77=0,0,IF(M$77&lt;=$C$73,IF(M$77&lt;=2,Assumptions!$I$6,Assumptions!$I$7),Assumptions!$I$8))</f>
        <v>0.3</v>
      </c>
    </row>
    <row r="81" spans="2:13" ht="15" customHeight="1" x14ac:dyDescent="0.35">
      <c r="B81" s="51" t="s">
        <v>722</v>
      </c>
      <c r="C81" s="55">
        <f t="shared" ref="C81:M81" si="15">C79*C78</f>
        <v>0</v>
      </c>
      <c r="D81" s="55">
        <f t="shared" si="15"/>
        <v>15</v>
      </c>
      <c r="E81" s="55">
        <f t="shared" si="15"/>
        <v>36.048545618433685</v>
      </c>
      <c r="F81" s="55">
        <f t="shared" si="15"/>
        <v>93.85260742031015</v>
      </c>
      <c r="G81" s="55">
        <f t="shared" si="15"/>
        <v>242.89999999999989</v>
      </c>
      <c r="H81" s="55">
        <f t="shared" si="15"/>
        <v>359.49199999999985</v>
      </c>
      <c r="I81" s="55">
        <f t="shared" si="15"/>
        <v>481.71927999999986</v>
      </c>
      <c r="J81" s="55">
        <f t="shared" si="15"/>
        <v>539.52559359999987</v>
      </c>
      <c r="K81" s="55">
        <f t="shared" si="15"/>
        <v>604.2686648319999</v>
      </c>
      <c r="L81" s="55">
        <f t="shared" si="15"/>
        <v>676.78090461184001</v>
      </c>
      <c r="M81" s="55">
        <f t="shared" si="15"/>
        <v>757.99461316526094</v>
      </c>
    </row>
    <row r="82" spans="2:13" ht="15" customHeight="1" x14ac:dyDescent="0.35">
      <c r="B82" s="51" t="s">
        <v>723</v>
      </c>
      <c r="C82" s="55">
        <f t="shared" ref="C82:M82" si="16">C80*C78</f>
        <v>0</v>
      </c>
      <c r="D82" s="55">
        <f t="shared" si="16"/>
        <v>12.5</v>
      </c>
      <c r="E82" s="55">
        <f t="shared" si="16"/>
        <v>30.040454682028074</v>
      </c>
      <c r="F82" s="55">
        <f t="shared" si="16"/>
        <v>54.867678184181322</v>
      </c>
      <c r="G82" s="55">
        <f t="shared" si="16"/>
        <v>131.85999999999996</v>
      </c>
      <c r="H82" s="55">
        <f t="shared" si="16"/>
        <v>154.06799999999996</v>
      </c>
      <c r="I82" s="55">
        <f t="shared" si="16"/>
        <v>206.45111999999995</v>
      </c>
      <c r="J82" s="55">
        <f t="shared" si="16"/>
        <v>231.22525439999995</v>
      </c>
      <c r="K82" s="55">
        <f t="shared" si="16"/>
        <v>258.97228492799997</v>
      </c>
      <c r="L82" s="55">
        <f t="shared" si="16"/>
        <v>290.04895911936001</v>
      </c>
      <c r="M82" s="55">
        <f t="shared" si="16"/>
        <v>324.85483421368326</v>
      </c>
    </row>
    <row r="83" spans="2:13" ht="15" customHeight="1" x14ac:dyDescent="0.35">
      <c r="B83" s="51" t="s">
        <v>724</v>
      </c>
      <c r="C83" s="55">
        <f>Assumptions!$I$12+Assumptions!$I$13*C78</f>
        <v>5</v>
      </c>
      <c r="D83" s="55">
        <f>Assumptions!$I$12+Assumptions!$I$13*D78</f>
        <v>5.5</v>
      </c>
      <c r="E83" s="55">
        <f>Assumptions!$I$12+Assumptions!$I$13*E78</f>
        <v>6.2016181872811229</v>
      </c>
      <c r="F83" s="55">
        <f>Assumptions!$I$12+Assumptions!$I$13*F78</f>
        <v>7.8877725360095434</v>
      </c>
      <c r="G83" s="55">
        <f>Assumptions!$I$12+Assumptions!$I$13*G78</f>
        <v>11.939999999999998</v>
      </c>
      <c r="H83" s="55">
        <f>Assumptions!$I$12+Assumptions!$I$13*H78</f>
        <v>15.271199999999997</v>
      </c>
      <c r="I83" s="55">
        <f>Assumptions!$I$12+Assumptions!$I$13*I78</f>
        <v>18.763407999999998</v>
      </c>
      <c r="J83" s="55">
        <f>Assumptions!$I$12+Assumptions!$I$13*J78</f>
        <v>20.415016959999999</v>
      </c>
      <c r="K83" s="55">
        <f>Assumptions!$I$12+Assumptions!$I$13*K78</f>
        <v>22.264818995199999</v>
      </c>
      <c r="L83" s="55">
        <f>Assumptions!$I$12+Assumptions!$I$13*L78</f>
        <v>24.336597274624001</v>
      </c>
      <c r="M83" s="55">
        <f>Assumptions!$I$12+Assumptions!$I$13*M78</f>
        <v>26.656988947578885</v>
      </c>
    </row>
    <row r="84" spans="2:13" ht="15" customHeight="1" x14ac:dyDescent="0.35">
      <c r="B84" s="51" t="s">
        <v>725</v>
      </c>
      <c r="C84" s="55">
        <f>IF(C$77=0,0.5*Assumptions!$I$10,MAX(Assumptions!$I$10,Assumptions!$I$11*C78))</f>
        <v>10</v>
      </c>
      <c r="D84" s="55">
        <f>IF(D$77=0,0.5*Assumptions!$I$10,MAX(Assumptions!$I$10,Assumptions!$I$11*D78))</f>
        <v>20</v>
      </c>
      <c r="E84" s="55">
        <f>IF(E$77=0,0.5*Assumptions!$I$10,MAX(Assumptions!$I$10,Assumptions!$I$11*E78))</f>
        <v>20</v>
      </c>
      <c r="F84" s="55">
        <f>IF(F$77=0,0.5*Assumptions!$I$10,MAX(Assumptions!$I$10,Assumptions!$I$11*F78))</f>
        <v>20</v>
      </c>
      <c r="G84" s="55">
        <f>IF(G$77=0,0.5*Assumptions!$I$10,MAX(Assumptions!$I$10,Assumptions!$I$11*G78))</f>
        <v>26.024999999999991</v>
      </c>
      <c r="H84" s="55">
        <f>IF(H$77=0,0.5*Assumptions!$I$10,MAX(Assumptions!$I$10,Assumptions!$I$11*H78))</f>
        <v>38.516999999999989</v>
      </c>
      <c r="I84" s="55">
        <f>IF(I$77=0,0.5*Assumptions!$I$10,MAX(Assumptions!$I$10,Assumptions!$I$11*I78))</f>
        <v>51.612779999999987</v>
      </c>
      <c r="J84" s="55">
        <f>IF(J$77=0,0.5*Assumptions!$I$10,MAX(Assumptions!$I$10,Assumptions!$I$11*J78))</f>
        <v>57.806313599999989</v>
      </c>
      <c r="K84" s="55">
        <f>IF(K$77=0,0.5*Assumptions!$I$10,MAX(Assumptions!$I$10,Assumptions!$I$11*K78))</f>
        <v>64.743071231999991</v>
      </c>
      <c r="L84" s="55">
        <f>IF(L$77=0,0.5*Assumptions!$I$10,MAX(Assumptions!$I$10,Assumptions!$I$11*L78))</f>
        <v>72.512239779840002</v>
      </c>
      <c r="M84" s="55">
        <f>IF(M$77=0,0.5*Assumptions!$I$10,MAX(Assumptions!$I$10,Assumptions!$I$11*M78))</f>
        <v>81.213708553420815</v>
      </c>
    </row>
    <row r="85" spans="2:13" ht="15" customHeight="1" x14ac:dyDescent="0.35">
      <c r="B85" s="51" t="s">
        <v>726</v>
      </c>
      <c r="C85" s="55">
        <f>IF(C$77=0,0,Assumptions!$I$9*C78)</f>
        <v>0</v>
      </c>
      <c r="D85" s="55">
        <f>IF(D$77=0,0,Assumptions!$I$9*D78)</f>
        <v>6.25</v>
      </c>
      <c r="E85" s="55">
        <f>IF(E$77=0,0,Assumptions!$I$9*E78)</f>
        <v>15.020227341014037</v>
      </c>
      <c r="F85" s="55">
        <f>IF(F$77=0,0,Assumptions!$I$9*F78)</f>
        <v>36.097156700119292</v>
      </c>
      <c r="G85" s="55">
        <f>IF(G$77=0,0,Assumptions!$I$9*G78)</f>
        <v>86.749999999999972</v>
      </c>
      <c r="H85" s="55">
        <f>IF(H$77=0,0,Assumptions!$I$9*H78)</f>
        <v>128.38999999999996</v>
      </c>
      <c r="I85" s="55">
        <f>IF(I$77=0,0,Assumptions!$I$9*I78)</f>
        <v>172.04259999999996</v>
      </c>
      <c r="J85" s="55">
        <f>IF(J$77=0,0,Assumptions!$I$9*J78)</f>
        <v>192.68771199999998</v>
      </c>
      <c r="K85" s="55">
        <f>IF(K$77=0,0,Assumptions!$I$9*K78)</f>
        <v>215.81023743999998</v>
      </c>
      <c r="L85" s="55">
        <f>IF(L$77=0,0,Assumptions!$I$9*L78)</f>
        <v>241.70746593280001</v>
      </c>
      <c r="M85" s="55">
        <f>IF(M$77=0,0,Assumptions!$I$9*M78)</f>
        <v>270.71236184473605</v>
      </c>
    </row>
    <row r="86" spans="2:13" ht="15" customHeight="1" x14ac:dyDescent="0.35">
      <c r="B86" s="51" t="s">
        <v>727</v>
      </c>
      <c r="C86" s="55">
        <f t="shared" ref="C86:M86" si="17">C81-C82-C85-C84-C83</f>
        <v>-15</v>
      </c>
      <c r="D86" s="55">
        <f t="shared" si="17"/>
        <v>-29.25</v>
      </c>
      <c r="E86" s="55">
        <f t="shared" si="17"/>
        <v>-35.213754591889547</v>
      </c>
      <c r="F86" s="55">
        <f t="shared" si="17"/>
        <v>-25.000000000000007</v>
      </c>
      <c r="G86" s="55">
        <f t="shared" si="17"/>
        <v>-13.675000000000026</v>
      </c>
      <c r="H86" s="55">
        <f t="shared" si="17"/>
        <v>23.245799999999949</v>
      </c>
      <c r="I86" s="55">
        <f t="shared" si="17"/>
        <v>32.84937199999996</v>
      </c>
      <c r="J86" s="55">
        <f t="shared" si="17"/>
        <v>37.391296639999979</v>
      </c>
      <c r="K86" s="55">
        <f t="shared" si="17"/>
        <v>42.47825223679996</v>
      </c>
      <c r="L86" s="55">
        <f t="shared" si="17"/>
        <v>48.175642505216004</v>
      </c>
      <c r="M86" s="55">
        <f t="shared" si="17"/>
        <v>54.556719605841934</v>
      </c>
    </row>
    <row r="87" spans="2:13" ht="15" customHeight="1" x14ac:dyDescent="0.35">
      <c r="B87" s="51" t="s">
        <v>728</v>
      </c>
      <c r="C87" s="55">
        <f t="shared" ref="C87:M87" si="18">IF(C$77&lt;=$C$73,C85,C81-C82-C84-C83-C88)</f>
        <v>0</v>
      </c>
      <c r="D87" s="55">
        <f t="shared" si="18"/>
        <v>6.25</v>
      </c>
      <c r="E87" s="55">
        <f t="shared" si="18"/>
        <v>15.020227341014037</v>
      </c>
      <c r="F87" s="55">
        <f t="shared" si="18"/>
        <v>36.097156700119292</v>
      </c>
      <c r="G87" s="55">
        <f t="shared" si="18"/>
        <v>86.749999999999972</v>
      </c>
      <c r="H87" s="55">
        <f t="shared" si="18"/>
        <v>116.71371999999991</v>
      </c>
      <c r="I87" s="55">
        <f t="shared" si="18"/>
        <v>135.38676159999994</v>
      </c>
      <c r="J87" s="55">
        <f t="shared" si="18"/>
        <v>126.79839500799996</v>
      </c>
      <c r="K87" s="55">
        <f t="shared" si="18"/>
        <v>114.12725106687995</v>
      </c>
      <c r="L87" s="55">
        <f t="shared" si="18"/>
        <v>96.517135691775991</v>
      </c>
      <c r="M87" s="55">
        <f t="shared" si="18"/>
        <v>108.69919197478913</v>
      </c>
    </row>
    <row r="88" spans="2:13" ht="15" customHeight="1" x14ac:dyDescent="0.35">
      <c r="B88" s="51" t="s">
        <v>729</v>
      </c>
      <c r="C88" s="55">
        <f>IF(C$77&lt;=$C$73,C86,($C$97+(Assumptions!$I$18-$C$97)*MIN(MAX(C$77-$C$73,0)/Assumptions!$D$33,1))*C78)</f>
        <v>-15</v>
      </c>
      <c r="D88" s="55">
        <f>IF(D$77&lt;=$C$73,D86,($C$97+(Assumptions!$I$18-$C$97)*MIN(MAX(D$77-$C$73,0)/Assumptions!$D$33,1))*D78)</f>
        <v>-29.25</v>
      </c>
      <c r="E88" s="55">
        <f>IF(E$77&lt;=$C$73,E86,($C$97+(Assumptions!$I$18-$C$97)*MIN(MAX(E$77-$C$73,0)/Assumptions!$D$33,1))*E78)</f>
        <v>-35.213754591889547</v>
      </c>
      <c r="F88" s="55">
        <f>IF(F$77&lt;=$C$73,F86,($C$97+(Assumptions!$I$18-$C$97)*MIN(MAX(F$77-$C$73,0)/Assumptions!$D$33,1))*F78)</f>
        <v>-25.000000000000007</v>
      </c>
      <c r="G88" s="55">
        <f>IF(G$77&lt;=$C$73,G86,($C$97+(Assumptions!$I$18-$C$97)*MIN(MAX(G$77-$C$73,0)/Assumptions!$D$33,1))*G78)</f>
        <v>-13.675000000000026</v>
      </c>
      <c r="H88" s="55">
        <f>IF(H$77&lt;=$C$73,H86,($C$97+(Assumptions!$I$18-$C$97)*MIN(MAX(H$77-$C$73,0)/Assumptions!$D$33,1))*H78)</f>
        <v>34.922079999999994</v>
      </c>
      <c r="I88" s="55">
        <f>IF(I$77&lt;=$C$73,I86,($C$97+(Assumptions!$I$18-$C$97)*MIN(MAX(I$77-$C$73,0)/Assumptions!$D$33,1))*I78)</f>
        <v>69.505210399999996</v>
      </c>
      <c r="J88" s="55">
        <f>IF(J$77&lt;=$C$73,J86,($C$97+(Assumptions!$I$18-$C$97)*MIN(MAX(J$77-$C$73,0)/Assumptions!$D$33,1))*J78)</f>
        <v>103.280613632</v>
      </c>
      <c r="K88" s="55">
        <f>IF(K$77&lt;=$C$73,K86,($C$97+(Assumptions!$I$18-$C$97)*MIN(MAX(K$77-$C$73,0)/Assumptions!$D$33,1))*K78)</f>
        <v>144.16123860991999</v>
      </c>
      <c r="L88" s="55">
        <f>IF(L$77&lt;=$C$73,L86,($C$97+(Assumptions!$I$18-$C$97)*MIN(MAX(L$77-$C$73,0)/Assumptions!$D$33,1))*L78)</f>
        <v>193.36597274624</v>
      </c>
      <c r="M88" s="55">
        <f>IF(M$77&lt;=$C$73,M86,($C$97+(Assumptions!$I$18-$C$97)*MIN(MAX(M$77-$C$73,0)/Assumptions!$D$33,1))*M78)</f>
        <v>216.56988947578884</v>
      </c>
    </row>
    <row r="89" spans="2:13" ht="15" customHeight="1" x14ac:dyDescent="0.35">
      <c r="B89" s="51" t="s">
        <v>730</v>
      </c>
      <c r="C89" s="55">
        <f>Assumptions!$I$14/365*C78</f>
        <v>0</v>
      </c>
      <c r="D89" s="55">
        <f>Assumptions!$I$14/365*D78</f>
        <v>2.054794520547945</v>
      </c>
      <c r="E89" s="55">
        <f>Assumptions!$I$14/365*E78</f>
        <v>4.9381569340320119</v>
      </c>
      <c r="F89" s="55">
        <f>Assumptions!$I$14/365*F78</f>
        <v>11.867558367162506</v>
      </c>
      <c r="G89" s="55">
        <f>Assumptions!$I$14/365*G78</f>
        <v>28.520547945205468</v>
      </c>
      <c r="H89" s="55">
        <f>Assumptions!$I$14/365*H78</f>
        <v>42.210410958904092</v>
      </c>
      <c r="I89" s="55">
        <f>Assumptions!$I$14/365*I78</f>
        <v>56.561950684931489</v>
      </c>
      <c r="J89" s="55">
        <f>Assumptions!$I$14/365*J78</f>
        <v>63.349384767123276</v>
      </c>
      <c r="K89" s="55">
        <f>Assumptions!$I$14/365*K78</f>
        <v>70.951310939178072</v>
      </c>
      <c r="L89" s="55">
        <f>Assumptions!$I$14/365*L78</f>
        <v>79.465468251879443</v>
      </c>
      <c r="M89" s="55">
        <f>Assumptions!$I$14/365*M78</f>
        <v>89.001324442105002</v>
      </c>
    </row>
    <row r="90" spans="2:13" ht="15" customHeight="1" x14ac:dyDescent="0.35">
      <c r="B90" s="51" t="s">
        <v>731</v>
      </c>
      <c r="C90" s="55">
        <f>C89</f>
        <v>0</v>
      </c>
      <c r="D90" s="55">
        <f t="shared" ref="D90:M90" si="19">D89-C89</f>
        <v>2.054794520547945</v>
      </c>
      <c r="E90" s="55">
        <f t="shared" si="19"/>
        <v>2.883362413484067</v>
      </c>
      <c r="F90" s="55">
        <f t="shared" si="19"/>
        <v>6.9294014331304936</v>
      </c>
      <c r="G90" s="55">
        <f t="shared" si="19"/>
        <v>16.652989578042963</v>
      </c>
      <c r="H90" s="55">
        <f t="shared" si="19"/>
        <v>13.689863013698623</v>
      </c>
      <c r="I90" s="55">
        <f t="shared" si="19"/>
        <v>14.351539726027397</v>
      </c>
      <c r="J90" s="55">
        <f t="shared" si="19"/>
        <v>6.7874340821917869</v>
      </c>
      <c r="K90" s="55">
        <f t="shared" si="19"/>
        <v>7.6019261720547959</v>
      </c>
      <c r="L90" s="55">
        <f t="shared" si="19"/>
        <v>8.5141573127013714</v>
      </c>
      <c r="M90" s="55">
        <f t="shared" si="19"/>
        <v>9.5358561902255587</v>
      </c>
    </row>
    <row r="91" spans="2:13" ht="15" customHeight="1" x14ac:dyDescent="0.35">
      <c r="B91" s="51" t="s">
        <v>732</v>
      </c>
      <c r="C91" s="55">
        <f t="shared" ref="C91:M91" si="20">C88-C90</f>
        <v>-15</v>
      </c>
      <c r="D91" s="55">
        <f t="shared" si="20"/>
        <v>-31.304794520547944</v>
      </c>
      <c r="E91" s="55">
        <f t="shared" si="20"/>
        <v>-38.097117005373612</v>
      </c>
      <c r="F91" s="55">
        <f t="shared" si="20"/>
        <v>-31.929401433130501</v>
      </c>
      <c r="G91" s="55">
        <f t="shared" si="20"/>
        <v>-30.327989578042988</v>
      </c>
      <c r="H91" s="55">
        <f t="shared" si="20"/>
        <v>21.232216986301371</v>
      </c>
      <c r="I91" s="55">
        <f t="shared" si="20"/>
        <v>55.153670673972599</v>
      </c>
      <c r="J91" s="55">
        <f t="shared" si="20"/>
        <v>96.493179549808218</v>
      </c>
      <c r="K91" s="55">
        <f t="shared" si="20"/>
        <v>136.5593124378652</v>
      </c>
      <c r="L91" s="55">
        <f t="shared" si="20"/>
        <v>184.85181543353863</v>
      </c>
      <c r="M91" s="55">
        <f t="shared" si="20"/>
        <v>207.03403328556328</v>
      </c>
    </row>
    <row r="92" spans="2:13" ht="15" customHeight="1" x14ac:dyDescent="0.35">
      <c r="B92" s="51" t="s">
        <v>733</v>
      </c>
      <c r="C92" s="55">
        <f t="shared" ref="C92:M92" si="21">MAX(-C91,0)</f>
        <v>15</v>
      </c>
      <c r="D92" s="55">
        <f t="shared" si="21"/>
        <v>31.304794520547944</v>
      </c>
      <c r="E92" s="55">
        <f t="shared" si="21"/>
        <v>38.097117005373612</v>
      </c>
      <c r="F92" s="55">
        <f t="shared" si="21"/>
        <v>31.929401433130501</v>
      </c>
      <c r="G92" s="55">
        <f t="shared" si="21"/>
        <v>30.327989578042988</v>
      </c>
      <c r="H92" s="55">
        <f t="shared" si="21"/>
        <v>0</v>
      </c>
      <c r="I92" s="55">
        <f t="shared" si="21"/>
        <v>0</v>
      </c>
      <c r="J92" s="55">
        <f t="shared" si="21"/>
        <v>0</v>
      </c>
      <c r="K92" s="55">
        <f t="shared" si="21"/>
        <v>0</v>
      </c>
      <c r="L92" s="55">
        <f t="shared" si="21"/>
        <v>0</v>
      </c>
      <c r="M92" s="55">
        <f t="shared" si="21"/>
        <v>0</v>
      </c>
    </row>
    <row r="93" spans="2:13" ht="15" customHeight="1" x14ac:dyDescent="0.35">
      <c r="B93" s="51" t="s">
        <v>734</v>
      </c>
      <c r="C93" s="55">
        <f>C91</f>
        <v>-15</v>
      </c>
      <c r="D93" s="55">
        <f t="shared" ref="D93:M93" si="22">C93+D91</f>
        <v>-46.304794520547944</v>
      </c>
      <c r="E93" s="55">
        <f t="shared" si="22"/>
        <v>-84.401911525921548</v>
      </c>
      <c r="F93" s="55">
        <f t="shared" si="22"/>
        <v>-116.33131295905204</v>
      </c>
      <c r="G93" s="55">
        <f t="shared" si="22"/>
        <v>-146.65930253709502</v>
      </c>
      <c r="H93" s="55">
        <f t="shared" si="22"/>
        <v>-125.42708555079365</v>
      </c>
      <c r="I93" s="55">
        <f t="shared" si="22"/>
        <v>-70.27341487682105</v>
      </c>
      <c r="J93" s="55">
        <f t="shared" si="22"/>
        <v>26.219764672987168</v>
      </c>
      <c r="K93" s="55">
        <f t="shared" si="22"/>
        <v>162.77907711085237</v>
      </c>
      <c r="L93" s="55">
        <f t="shared" si="22"/>
        <v>347.63089254439103</v>
      </c>
      <c r="M93" s="55">
        <f t="shared" si="22"/>
        <v>554.66492582995431</v>
      </c>
    </row>
    <row r="94" spans="2:13" ht="15" customHeight="1" x14ac:dyDescent="0.35">
      <c r="B94" s="51" t="s">
        <v>735</v>
      </c>
      <c r="C94" s="56">
        <f>(1+Assumptions!$I$15)^(-C$77)</f>
        <v>1</v>
      </c>
      <c r="D94" s="56">
        <f>(1+Assumptions!$I$15)^(-D$77)</f>
        <v>0.89847259658580414</v>
      </c>
      <c r="E94" s="56">
        <f>(1+Assumptions!$I$15)^(-E$77)</f>
        <v>0.80725300681563716</v>
      </c>
      <c r="F94" s="56">
        <f>(1+Assumptions!$I$15)^(-F$77)</f>
        <v>0.72529470513534333</v>
      </c>
      <c r="G94" s="56">
        <f>(1+Assumptions!$I$15)^(-G$77)</f>
        <v>0.65165741701288704</v>
      </c>
      <c r="H94" s="56">
        <f>(1+Assumptions!$I$15)^(-H$77)</f>
        <v>0.58549633154796688</v>
      </c>
      <c r="I94" s="56">
        <f>(1+Assumptions!$I$15)^(-I$77)</f>
        <v>0.52605240929736463</v>
      </c>
      <c r="J94" s="56">
        <f>(1+Assumptions!$I$15)^(-J$77)</f>
        <v>0.47264367412162139</v>
      </c>
      <c r="K94" s="56">
        <f>(1+Assumptions!$I$15)^(-K$77)</f>
        <v>0.42465738914790779</v>
      </c>
      <c r="L94" s="56">
        <f>(1+Assumptions!$I$15)^(-L$77)</f>
        <v>0.381543027087069</v>
      </c>
      <c r="M94" s="56">
        <f>(1+Assumptions!$I$15)^(-M$77)</f>
        <v>0.34280595425612664</v>
      </c>
    </row>
    <row r="95" spans="2:13" ht="15" customHeight="1" x14ac:dyDescent="0.35">
      <c r="B95" s="51" t="s">
        <v>736</v>
      </c>
      <c r="C95" s="55">
        <f>Assumptions!$I$19*(1+Assumptions!$I$16)^C$77</f>
        <v>690</v>
      </c>
      <c r="D95" s="55">
        <f>Assumptions!$I$19*(1+Assumptions!$I$16)^D$77</f>
        <v>772.80000000000007</v>
      </c>
      <c r="E95" s="55">
        <f>Assumptions!$I$19*(1+Assumptions!$I$16)^E$77</f>
        <v>865.53600000000017</v>
      </c>
      <c r="F95" s="55">
        <f>Assumptions!$I$19*(1+Assumptions!$I$16)^F$77</f>
        <v>969.40032000000031</v>
      </c>
      <c r="G95" s="55">
        <f>Assumptions!$I$19*(1+Assumptions!$I$16)^G$77</f>
        <v>1085.7283584000002</v>
      </c>
      <c r="H95" s="55">
        <f>Assumptions!$I$19*(1+Assumptions!$I$16)^H$77</f>
        <v>1216.0157614080003</v>
      </c>
      <c r="I95" s="55">
        <f>Assumptions!$I$19*(1+Assumptions!$I$16)^I$77</f>
        <v>1361.9376527769605</v>
      </c>
      <c r="J95" s="55">
        <f>Assumptions!$I$19*(1+Assumptions!$I$16)^J$77</f>
        <v>1525.3701711101958</v>
      </c>
      <c r="K95" s="55">
        <f>Assumptions!$I$19*(1+Assumptions!$I$16)^K$77</f>
        <v>1708.4145916434195</v>
      </c>
      <c r="L95" s="55">
        <f>Assumptions!$I$19*(1+Assumptions!$I$16)^L$77</f>
        <v>1913.4243426406299</v>
      </c>
      <c r="M95" s="55">
        <f>Assumptions!$I$19*(1+Assumptions!$I$16)^M$77</f>
        <v>2143.0352637575056</v>
      </c>
    </row>
    <row r="96" spans="2:13" ht="15" customHeight="1" x14ac:dyDescent="0.35">
      <c r="B96" s="51" t="s">
        <v>737</v>
      </c>
      <c r="C96" s="55">
        <f>(Assumptions!$D$30+(Assumptions!$I$18-Assumptions!$D$30)*MIN(C$77/Assumptions!$D$33,1))*C95</f>
        <v>24.150000000000002</v>
      </c>
      <c r="D96" s="55">
        <f>(Assumptions!$D$30+(Assumptions!$I$18-Assumptions!$D$30)*MIN(D$77/Assumptions!$D$33,1))*D95</f>
        <v>52.55040000000001</v>
      </c>
      <c r="E96" s="55">
        <f>(Assumptions!$D$30+(Assumptions!$I$18-Assumptions!$D$30)*MIN(E$77/Assumptions!$D$33,1))*E95</f>
        <v>87.419136000000023</v>
      </c>
      <c r="F96" s="55">
        <f>(Assumptions!$D$30+(Assumptions!$I$18-Assumptions!$D$30)*MIN(F$77/Assumptions!$D$33,1))*F95</f>
        <v>129.89964288000004</v>
      </c>
      <c r="G96" s="55">
        <f>(Assumptions!$D$30+(Assumptions!$I$18-Assumptions!$D$30)*MIN(G$77/Assumptions!$D$33,1))*G95</f>
        <v>181.31663585280003</v>
      </c>
      <c r="H96" s="55">
        <f>(Assumptions!$D$30+(Assumptions!$I$18-Assumptions!$D$30)*MIN(H$77/Assumptions!$D$33,1))*H95</f>
        <v>243.20315228160007</v>
      </c>
      <c r="I96" s="55">
        <f>(Assumptions!$D$30+(Assumptions!$I$18-Assumptions!$D$30)*MIN(I$77/Assumptions!$D$33,1))*I95</f>
        <v>272.38753055539212</v>
      </c>
      <c r="J96" s="55">
        <f>(Assumptions!$D$30+(Assumptions!$I$18-Assumptions!$D$30)*MIN(J$77/Assumptions!$D$33,1))*J95</f>
        <v>305.07403422203919</v>
      </c>
      <c r="K96" s="55">
        <f>(Assumptions!$D$30+(Assumptions!$I$18-Assumptions!$D$30)*MIN(K$77/Assumptions!$D$33,1))*K95</f>
        <v>341.68291832868391</v>
      </c>
      <c r="L96" s="55">
        <f>(Assumptions!$D$30+(Assumptions!$I$18-Assumptions!$D$30)*MIN(L$77/Assumptions!$D$33,1))*L95</f>
        <v>382.684868528126</v>
      </c>
      <c r="M96" s="55">
        <f>(Assumptions!$D$30+(Assumptions!$I$18-Assumptions!$D$30)*MIN(M$77/Assumptions!$D$33,1))*M95</f>
        <v>428.60705275150116</v>
      </c>
    </row>
    <row r="97" spans="2:3" ht="15" customHeight="1" x14ac:dyDescent="0.35">
      <c r="B97" s="51" t="s">
        <v>738</v>
      </c>
      <c r="C97" s="53">
        <f>MAX(Assumptions!$D$30,INDEX(C86:M86,$C$73+1)/INDEX(C78:M78,$C$73+1))</f>
        <v>3.5000000000000003E-2</v>
      </c>
    </row>
    <row r="99" spans="2:3" ht="15" customHeight="1" x14ac:dyDescent="0.35">
      <c r="B99" s="51" t="s">
        <v>739</v>
      </c>
      <c r="C99" s="57">
        <f>SUMPRODUCT($C$92:$M$92,$C$94:$M$94,($C$77:$M$77&lt;=$C$73)*1)</f>
        <v>116.8021974212684</v>
      </c>
    </row>
    <row r="100" spans="2:3" ht="15" customHeight="1" x14ac:dyDescent="0.35">
      <c r="B100" s="51" t="s">
        <v>740</v>
      </c>
      <c r="C100" s="57">
        <f>-MIN($C$93:$M$93)</f>
        <v>146.65930253709502</v>
      </c>
    </row>
    <row r="101" spans="2:3" ht="15" customHeight="1" x14ac:dyDescent="0.35">
      <c r="B101" s="51" t="s">
        <v>741</v>
      </c>
      <c r="C101" s="58">
        <f>Assumptions!$I$17</f>
        <v>0.11</v>
      </c>
    </row>
    <row r="102" spans="2:3" ht="15" customHeight="1" x14ac:dyDescent="0.35">
      <c r="B102" s="59" t="s">
        <v>742</v>
      </c>
      <c r="C102" s="60">
        <f>$C$99/$C$101</f>
        <v>1061.8381583751673</v>
      </c>
    </row>
    <row r="103" spans="2:3" ht="15" customHeight="1" x14ac:dyDescent="0.35">
      <c r="B103" s="51" t="s">
        <v>743</v>
      </c>
      <c r="C103" s="57">
        <f>SUMPRODUCT($C$96:$M$96-$C$88:$M$88*($C$77:$M$77&gt;$C$73),$C$94:$M$94,($C$77:$M$77&gt;=1)*1)</f>
        <v>883.00717676994293</v>
      </c>
    </row>
    <row r="104" spans="2:3" ht="15" customHeight="1" x14ac:dyDescent="0.35">
      <c r="B104" s="51" t="s">
        <v>744</v>
      </c>
      <c r="C104" s="57">
        <f>$M$95-$M$78</f>
        <v>1060.1858163785614</v>
      </c>
    </row>
    <row r="105" spans="2:3" ht="15" customHeight="1" x14ac:dyDescent="0.35">
      <c r="B105" s="51" t="s">
        <v>745</v>
      </c>
      <c r="C105" s="57">
        <f>$C$104*Assumptions!$I$18/(Assumptions!$I$15-Assumptions!$I$25)*$M$94</f>
        <v>1153.7714618173441</v>
      </c>
    </row>
    <row r="106" spans="2:3" ht="15" customHeight="1" x14ac:dyDescent="0.35">
      <c r="B106" s="59" t="s">
        <v>746</v>
      </c>
      <c r="C106" s="60">
        <f>$C$103+$C$105</f>
        <v>2036.7786385872869</v>
      </c>
    </row>
    <row r="107" spans="2:3" ht="15" customHeight="1" x14ac:dyDescent="0.35">
      <c r="B107" s="59" t="s">
        <v>747</v>
      </c>
      <c r="C107" s="60">
        <f>$C$102+$C$106</f>
        <v>3098.6167969624539</v>
      </c>
    </row>
    <row r="108" spans="2:3" ht="15" customHeight="1" x14ac:dyDescent="0.35">
      <c r="B108" s="51" t="s">
        <v>748</v>
      </c>
      <c r="C108" s="57">
        <f>Assumptions!$I$21+Assumptions!$I$23+Assumptions!$I$20-Assumptions!$I$22</f>
        <v>527</v>
      </c>
    </row>
    <row r="109" spans="2:3" ht="15" customHeight="1" x14ac:dyDescent="0.35">
      <c r="B109" s="51" t="s">
        <v>749</v>
      </c>
      <c r="C109" s="57">
        <f>Assumptions!$D$29+$C$108</f>
        <v>3233.45</v>
      </c>
    </row>
    <row r="110" spans="2:3" ht="15" customHeight="1" x14ac:dyDescent="0.35">
      <c r="B110" s="59" t="s">
        <v>750</v>
      </c>
      <c r="C110" s="60">
        <f>$C$107-$C$108</f>
        <v>2571.6167969624539</v>
      </c>
    </row>
    <row r="111" spans="2:3" ht="15" customHeight="1" x14ac:dyDescent="0.35">
      <c r="B111" s="51" t="s">
        <v>751</v>
      </c>
      <c r="C111" s="57">
        <f>$C$110-Assumptions!$D$29</f>
        <v>-134.8332030375459</v>
      </c>
    </row>
    <row r="112" spans="2:3" ht="15" customHeight="1" x14ac:dyDescent="0.35">
      <c r="B112" s="51" t="s">
        <v>752</v>
      </c>
      <c r="C112" s="57">
        <f>SUMPRODUCT($C$92:$M$92,$C$94:$M$94,($C$77:$M$77&lt;=$C$75)*1)</f>
        <v>97.038738069647152</v>
      </c>
    </row>
    <row r="113" spans="1:13" ht="15" customHeight="1" x14ac:dyDescent="0.35">
      <c r="B113" s="51" t="s">
        <v>753</v>
      </c>
      <c r="C113" s="57">
        <f>$C$99+(1/$C$101-1)*$C$112</f>
        <v>901.93380543932267</v>
      </c>
    </row>
    <row r="114" spans="1:13" ht="15" customHeight="1" x14ac:dyDescent="0.35">
      <c r="B114" s="51" t="s">
        <v>754</v>
      </c>
      <c r="C114" s="57">
        <f>$C$113+$C$106-$C$108</f>
        <v>2411.7124440266098</v>
      </c>
    </row>
    <row r="115" spans="1:13" ht="15" customHeight="1" x14ac:dyDescent="0.35">
      <c r="B115" s="51" t="s">
        <v>755</v>
      </c>
      <c r="C115" s="57">
        <f>SUMPRODUCT($C$96:$M$96,$C$94:$M$94,($C$77:$M$77&gt;=1)*1)+$M$96*(1+Assumptions!$I$25)/(Assumptions!$I$15-Assumptions!$I$25)*$M$94</f>
        <v>3646.8877553117895</v>
      </c>
    </row>
    <row r="117" spans="1:13" ht="15" customHeight="1" x14ac:dyDescent="0.35">
      <c r="A117" s="49" t="s">
        <v>790</v>
      </c>
      <c r="B117" s="50"/>
      <c r="C117" s="50"/>
      <c r="D117" s="50"/>
      <c r="E117" s="50"/>
      <c r="F117" s="50"/>
      <c r="G117" s="50"/>
      <c r="H117" s="50"/>
      <c r="I117" s="50"/>
      <c r="J117" s="50"/>
      <c r="K117" s="50"/>
      <c r="L117" s="50"/>
      <c r="M117" s="50"/>
    </row>
    <row r="118" spans="1:13" ht="15" customHeight="1" x14ac:dyDescent="0.35">
      <c r="B118" s="51" t="s">
        <v>715</v>
      </c>
      <c r="C118" s="52">
        <f>ROUND(Sensitivity!$D$17,0)</f>
        <v>5</v>
      </c>
    </row>
    <row r="119" spans="1:13" ht="15" customHeight="1" x14ac:dyDescent="0.35">
      <c r="B119" s="51" t="s">
        <v>716</v>
      </c>
      <c r="C119" s="53">
        <f>(Assumptions!$I$26/Assumptions!$I$3)^(1/($C$118-1))</f>
        <v>1.930178023405984</v>
      </c>
    </row>
    <row r="120" spans="1:13" ht="15" customHeight="1" x14ac:dyDescent="0.35">
      <c r="B120" s="51" t="s">
        <v>717</v>
      </c>
      <c r="C120" s="52">
        <f>INT(Assumptions!$I$24)</f>
        <v>3</v>
      </c>
    </row>
    <row r="122" spans="1:13" ht="15" customHeight="1" x14ac:dyDescent="0.35">
      <c r="B122" s="54" t="s">
        <v>718</v>
      </c>
      <c r="C122" s="54">
        <v>0</v>
      </c>
      <c r="D122" s="54">
        <v>1</v>
      </c>
      <c r="E122" s="54">
        <v>2</v>
      </c>
      <c r="F122" s="54">
        <v>3</v>
      </c>
      <c r="G122" s="54">
        <v>4</v>
      </c>
      <c r="H122" s="54">
        <v>5</v>
      </c>
      <c r="I122" s="54">
        <v>6</v>
      </c>
      <c r="J122" s="54">
        <v>7</v>
      </c>
      <c r="K122" s="54">
        <v>8</v>
      </c>
      <c r="L122" s="54">
        <v>9</v>
      </c>
      <c r="M122" s="54">
        <v>10</v>
      </c>
    </row>
    <row r="123" spans="1:13" ht="15" customHeight="1" x14ac:dyDescent="0.35">
      <c r="B123" s="51" t="s">
        <v>719</v>
      </c>
      <c r="C123" s="55">
        <f>IF(C$122=0,0,IF(C$122&lt;=$C$118,Assumptions!$I$3*$C$119^(C$122-1),0))</f>
        <v>0</v>
      </c>
      <c r="D123" s="55">
        <f>IF(D$122=0,0,IF(D$122&lt;=$C$118,Assumptions!$I$3*$C$119^(D$122-1),C123*(1+IF(D$122-$C$118=1,Assumptions!$D$31,IF(D$122-$C$118=2,Assumptions!$D$32,Assumptions!$I$16)))))</f>
        <v>25</v>
      </c>
      <c r="E123" s="55">
        <f>IF(E$122=0,0,IF(E$122&lt;=$C$118,Assumptions!$I$3*$C$119^(E$122-1),D123*(1+IF(E$122-$C$118=1,Assumptions!$D$31,IF(E$122-$C$118=2,Assumptions!$D$32,Assumptions!$I$16)))))</f>
        <v>48.254450585149598</v>
      </c>
      <c r="F123" s="55">
        <f>IF(F$122=0,0,IF(F$122&lt;=$C$118,Assumptions!$I$3*$C$119^(F$122-1),E123*(1+IF(F$122-$C$118=1,Assumptions!$D$31,IF(F$122-$C$118=2,Assumptions!$D$32,Assumptions!$I$16)))))</f>
        <v>93.139680050985788</v>
      </c>
      <c r="G123" s="55">
        <f>IF(G$122=0,0,IF(G$122&lt;=$C$118,Assumptions!$I$3*$C$119^(G$122-1),F123*(1+IF(G$122-$C$118=1,Assumptions!$D$31,IF(G$122-$C$118=2,Assumptions!$D$32,Assumptions!$I$16)))))</f>
        <v>179.7761635414775</v>
      </c>
      <c r="H123" s="55">
        <f>IF(H$122=0,0,IF(H$122&lt;=$C$118,Assumptions!$I$3*$C$119^(H$122-1),G123*(1+IF(H$122-$C$118=1,Assumptions!$D$31,IF(H$122-$C$118=2,Assumptions!$D$32,Assumptions!$I$16)))))</f>
        <v>347</v>
      </c>
      <c r="I123" s="55">
        <f>IF(I$122=0,0,IF(I$122&lt;=$C$118,Assumptions!$I$3*$C$119^(I$122-1),H123*(1+IF(I$122-$C$118=1,Assumptions!$D$31,IF(I$122-$C$118=2,Assumptions!$D$32,Assumptions!$I$16)))))</f>
        <v>513.55999999999995</v>
      </c>
      <c r="J123" s="55">
        <f>IF(J$122=0,0,IF(J$122&lt;=$C$118,Assumptions!$I$3*$C$119^(J$122-1),I123*(1+IF(J$122-$C$118=1,Assumptions!$D$31,IF(J$122-$C$118=2,Assumptions!$D$32,Assumptions!$I$16)))))</f>
        <v>688.17039999999997</v>
      </c>
      <c r="K123" s="55">
        <f>IF(K$122=0,0,IF(K$122&lt;=$C$118,Assumptions!$I$3*$C$119^(K$122-1),J123*(1+IF(K$122-$C$118=1,Assumptions!$D$31,IF(K$122-$C$118=2,Assumptions!$D$32,Assumptions!$I$16)))))</f>
        <v>770.75084800000002</v>
      </c>
      <c r="L123" s="55">
        <f>IF(L$122=0,0,IF(L$122&lt;=$C$118,Assumptions!$I$3*$C$119^(L$122-1),K123*(1+IF(L$122-$C$118=1,Assumptions!$D$31,IF(L$122-$C$118=2,Assumptions!$D$32,Assumptions!$I$16)))))</f>
        <v>863.24094976000015</v>
      </c>
      <c r="M123" s="55">
        <f>IF(M$122=0,0,IF(M$122&lt;=$C$118,Assumptions!$I$3*$C$119^(M$122-1),L123*(1+IF(M$122-$C$118=1,Assumptions!$D$31,IF(M$122-$C$118=2,Assumptions!$D$32,Assumptions!$I$16)))))</f>
        <v>966.82986373120025</v>
      </c>
    </row>
    <row r="124" spans="1:13" ht="15" customHeight="1" x14ac:dyDescent="0.35">
      <c r="B124" s="51" t="s">
        <v>720</v>
      </c>
      <c r="C124" s="53">
        <f>IF(C$122=0,0,IF(C$122&lt;=$C$118,IF(C$122&lt;=2,Assumptions!$I$4,Assumptions!$I$4+(C$122-2)/MAX($C$118-2,1)*(Assumptions!$I$5-Assumptions!$I$4)),Assumptions!$I$5))</f>
        <v>0</v>
      </c>
      <c r="D124" s="53">
        <f>IF(D$122=0,0,IF(D$122&lt;=$C$118,IF(D$122&lt;=2,Assumptions!$I$4,Assumptions!$I$4+(D$122-2)/MAX($C$118-2,1)*(Assumptions!$I$5-Assumptions!$I$4)),Assumptions!$I$5))</f>
        <v>0.6</v>
      </c>
      <c r="E124" s="53">
        <f>IF(E$122=0,0,IF(E$122&lt;=$C$118,IF(E$122&lt;=2,Assumptions!$I$4,Assumptions!$I$4+(E$122-2)/MAX($C$118-2,1)*(Assumptions!$I$5-Assumptions!$I$4)),Assumptions!$I$5))</f>
        <v>0.6</v>
      </c>
      <c r="F124" s="53">
        <f>IF(F$122=0,0,IF(F$122&lt;=$C$118,IF(F$122&lt;=2,Assumptions!$I$4,Assumptions!$I$4+(F$122-2)/MAX($C$118-2,1)*(Assumptions!$I$5-Assumptions!$I$4)),Assumptions!$I$5))</f>
        <v>0.6333333333333333</v>
      </c>
      <c r="G124" s="53">
        <f>IF(G$122=0,0,IF(G$122&lt;=$C$118,IF(G$122&lt;=2,Assumptions!$I$4,Assumptions!$I$4+(G$122-2)/MAX($C$118-2,1)*(Assumptions!$I$5-Assumptions!$I$4)),Assumptions!$I$5))</f>
        <v>0.66666666666666663</v>
      </c>
      <c r="H124" s="53">
        <f>IF(H$122=0,0,IF(H$122&lt;=$C$118,IF(H$122&lt;=2,Assumptions!$I$4,Assumptions!$I$4+(H$122-2)/MAX($C$118-2,1)*(Assumptions!$I$5-Assumptions!$I$4)),Assumptions!$I$5))</f>
        <v>0.7</v>
      </c>
      <c r="I124" s="53">
        <f>IF(I$122=0,0,IF(I$122&lt;=$C$118,IF(I$122&lt;=2,Assumptions!$I$4,Assumptions!$I$4+(I$122-2)/MAX($C$118-2,1)*(Assumptions!$I$5-Assumptions!$I$4)),Assumptions!$I$5))</f>
        <v>0.7</v>
      </c>
      <c r="J124" s="53">
        <f>IF(J$122=0,0,IF(J$122&lt;=$C$118,IF(J$122&lt;=2,Assumptions!$I$4,Assumptions!$I$4+(J$122-2)/MAX($C$118-2,1)*(Assumptions!$I$5-Assumptions!$I$4)),Assumptions!$I$5))</f>
        <v>0.7</v>
      </c>
      <c r="K124" s="53">
        <f>IF(K$122=0,0,IF(K$122&lt;=$C$118,IF(K$122&lt;=2,Assumptions!$I$4,Assumptions!$I$4+(K$122-2)/MAX($C$118-2,1)*(Assumptions!$I$5-Assumptions!$I$4)),Assumptions!$I$5))</f>
        <v>0.7</v>
      </c>
      <c r="L124" s="53">
        <f>IF(L$122=0,0,IF(L$122&lt;=$C$118,IF(L$122&lt;=2,Assumptions!$I$4,Assumptions!$I$4+(L$122-2)/MAX($C$118-2,1)*(Assumptions!$I$5-Assumptions!$I$4)),Assumptions!$I$5))</f>
        <v>0.7</v>
      </c>
      <c r="M124" s="53">
        <f>IF(M$122=0,0,IF(M$122&lt;=$C$118,IF(M$122&lt;=2,Assumptions!$I$4,Assumptions!$I$4+(M$122-2)/MAX($C$118-2,1)*(Assumptions!$I$5-Assumptions!$I$4)),Assumptions!$I$5))</f>
        <v>0.7</v>
      </c>
    </row>
    <row r="125" spans="1:13" ht="15" customHeight="1" x14ac:dyDescent="0.35">
      <c r="B125" s="51" t="s">
        <v>721</v>
      </c>
      <c r="C125" s="53">
        <f>IF(C$122=0,0,IF(C$122&lt;=$C$118,IF(C$122&lt;=2,Assumptions!$I$6,Assumptions!$I$7),Assumptions!$I$8))</f>
        <v>0</v>
      </c>
      <c r="D125" s="53">
        <f>IF(D$122=0,0,IF(D$122&lt;=$C$118,IF(D$122&lt;=2,Assumptions!$I$6,Assumptions!$I$7),Assumptions!$I$8))</f>
        <v>0.5</v>
      </c>
      <c r="E125" s="53">
        <f>IF(E$122=0,0,IF(E$122&lt;=$C$118,IF(E$122&lt;=2,Assumptions!$I$6,Assumptions!$I$7),Assumptions!$I$8))</f>
        <v>0.5</v>
      </c>
      <c r="F125" s="53">
        <f>IF(F$122=0,0,IF(F$122&lt;=$C$118,IF(F$122&lt;=2,Assumptions!$I$6,Assumptions!$I$7),Assumptions!$I$8))</f>
        <v>0.38</v>
      </c>
      <c r="G125" s="53">
        <f>IF(G$122=0,0,IF(G$122&lt;=$C$118,IF(G$122&lt;=2,Assumptions!$I$6,Assumptions!$I$7),Assumptions!$I$8))</f>
        <v>0.38</v>
      </c>
      <c r="H125" s="53">
        <f>IF(H$122=0,0,IF(H$122&lt;=$C$118,IF(H$122&lt;=2,Assumptions!$I$6,Assumptions!$I$7),Assumptions!$I$8))</f>
        <v>0.38</v>
      </c>
      <c r="I125" s="53">
        <f>IF(I$122=0,0,IF(I$122&lt;=$C$118,IF(I$122&lt;=2,Assumptions!$I$6,Assumptions!$I$7),Assumptions!$I$8))</f>
        <v>0.3</v>
      </c>
      <c r="J125" s="53">
        <f>IF(J$122=0,0,IF(J$122&lt;=$C$118,IF(J$122&lt;=2,Assumptions!$I$6,Assumptions!$I$7),Assumptions!$I$8))</f>
        <v>0.3</v>
      </c>
      <c r="K125" s="53">
        <f>IF(K$122=0,0,IF(K$122&lt;=$C$118,IF(K$122&lt;=2,Assumptions!$I$6,Assumptions!$I$7),Assumptions!$I$8))</f>
        <v>0.3</v>
      </c>
      <c r="L125" s="53">
        <f>IF(L$122=0,0,IF(L$122&lt;=$C$118,IF(L$122&lt;=2,Assumptions!$I$6,Assumptions!$I$7),Assumptions!$I$8))</f>
        <v>0.3</v>
      </c>
      <c r="M125" s="53">
        <f>IF(M$122=0,0,IF(M$122&lt;=$C$118,IF(M$122&lt;=2,Assumptions!$I$6,Assumptions!$I$7),Assumptions!$I$8))</f>
        <v>0.3</v>
      </c>
    </row>
    <row r="126" spans="1:13" ht="15" customHeight="1" x14ac:dyDescent="0.35">
      <c r="B126" s="51" t="s">
        <v>722</v>
      </c>
      <c r="C126" s="55">
        <f t="shared" ref="C126:M126" si="23">C124*C123</f>
        <v>0</v>
      </c>
      <c r="D126" s="55">
        <f t="shared" si="23"/>
        <v>15</v>
      </c>
      <c r="E126" s="55">
        <f t="shared" si="23"/>
        <v>28.952670351089758</v>
      </c>
      <c r="F126" s="55">
        <f t="shared" si="23"/>
        <v>58.988464032290999</v>
      </c>
      <c r="G126" s="55">
        <f t="shared" si="23"/>
        <v>119.85077569431833</v>
      </c>
      <c r="H126" s="55">
        <f t="shared" si="23"/>
        <v>242.89999999999998</v>
      </c>
      <c r="I126" s="55">
        <f t="shared" si="23"/>
        <v>359.49199999999996</v>
      </c>
      <c r="J126" s="55">
        <f t="shared" si="23"/>
        <v>481.71927999999997</v>
      </c>
      <c r="K126" s="55">
        <f t="shared" si="23"/>
        <v>539.52559359999998</v>
      </c>
      <c r="L126" s="55">
        <f t="shared" si="23"/>
        <v>604.26866483200001</v>
      </c>
      <c r="M126" s="55">
        <f t="shared" si="23"/>
        <v>676.78090461184013</v>
      </c>
    </row>
    <row r="127" spans="1:13" ht="15" customHeight="1" x14ac:dyDescent="0.35">
      <c r="B127" s="51" t="s">
        <v>723</v>
      </c>
      <c r="C127" s="55">
        <f t="shared" ref="C127:M127" si="24">C125*C123</f>
        <v>0</v>
      </c>
      <c r="D127" s="55">
        <f t="shared" si="24"/>
        <v>12.5</v>
      </c>
      <c r="E127" s="55">
        <f t="shared" si="24"/>
        <v>24.127225292574799</v>
      </c>
      <c r="F127" s="55">
        <f t="shared" si="24"/>
        <v>35.393078419374596</v>
      </c>
      <c r="G127" s="55">
        <f t="shared" si="24"/>
        <v>68.314942145761449</v>
      </c>
      <c r="H127" s="55">
        <f t="shared" si="24"/>
        <v>131.86000000000001</v>
      </c>
      <c r="I127" s="55">
        <f t="shared" si="24"/>
        <v>154.06799999999998</v>
      </c>
      <c r="J127" s="55">
        <f t="shared" si="24"/>
        <v>206.45111999999997</v>
      </c>
      <c r="K127" s="55">
        <f t="shared" si="24"/>
        <v>231.22525439999998</v>
      </c>
      <c r="L127" s="55">
        <f t="shared" si="24"/>
        <v>258.97228492800002</v>
      </c>
      <c r="M127" s="55">
        <f t="shared" si="24"/>
        <v>290.04895911936006</v>
      </c>
    </row>
    <row r="128" spans="1:13" ht="15" customHeight="1" x14ac:dyDescent="0.35">
      <c r="B128" s="51" t="s">
        <v>724</v>
      </c>
      <c r="C128" s="55">
        <f>Assumptions!$I$12+Assumptions!$I$13*C123</f>
        <v>5</v>
      </c>
      <c r="D128" s="55">
        <f>Assumptions!$I$12+Assumptions!$I$13*D123</f>
        <v>5.5</v>
      </c>
      <c r="E128" s="55">
        <f>Assumptions!$I$12+Assumptions!$I$13*E123</f>
        <v>5.9650890117029922</v>
      </c>
      <c r="F128" s="55">
        <f>Assumptions!$I$12+Assumptions!$I$13*F123</f>
        <v>6.8627936010197157</v>
      </c>
      <c r="G128" s="55">
        <f>Assumptions!$I$12+Assumptions!$I$13*G123</f>
        <v>8.595523270829549</v>
      </c>
      <c r="H128" s="55">
        <f>Assumptions!$I$12+Assumptions!$I$13*H123</f>
        <v>11.940000000000001</v>
      </c>
      <c r="I128" s="55">
        <f>Assumptions!$I$12+Assumptions!$I$13*I123</f>
        <v>15.271199999999999</v>
      </c>
      <c r="J128" s="55">
        <f>Assumptions!$I$12+Assumptions!$I$13*J123</f>
        <v>18.763407999999998</v>
      </c>
      <c r="K128" s="55">
        <f>Assumptions!$I$12+Assumptions!$I$13*K123</f>
        <v>20.415016960000003</v>
      </c>
      <c r="L128" s="55">
        <f>Assumptions!$I$12+Assumptions!$I$13*L123</f>
        <v>22.264818995200002</v>
      </c>
      <c r="M128" s="55">
        <f>Assumptions!$I$12+Assumptions!$I$13*M123</f>
        <v>24.336597274624005</v>
      </c>
    </row>
    <row r="129" spans="2:13" ht="15" customHeight="1" x14ac:dyDescent="0.35">
      <c r="B129" s="51" t="s">
        <v>725</v>
      </c>
      <c r="C129" s="55">
        <f>IF(C$122=0,0.5*Assumptions!$I$10,MAX(Assumptions!$I$10,Assumptions!$I$11*C123))</f>
        <v>10</v>
      </c>
      <c r="D129" s="55">
        <f>IF(D$122=0,0.5*Assumptions!$I$10,MAX(Assumptions!$I$10,Assumptions!$I$11*D123))</f>
        <v>20</v>
      </c>
      <c r="E129" s="55">
        <f>IF(E$122=0,0.5*Assumptions!$I$10,MAX(Assumptions!$I$10,Assumptions!$I$11*E123))</f>
        <v>20</v>
      </c>
      <c r="F129" s="55">
        <f>IF(F$122=0,0.5*Assumptions!$I$10,MAX(Assumptions!$I$10,Assumptions!$I$11*F123))</f>
        <v>20</v>
      </c>
      <c r="G129" s="55">
        <f>IF(G$122=0,0.5*Assumptions!$I$10,MAX(Assumptions!$I$10,Assumptions!$I$11*G123))</f>
        <v>20</v>
      </c>
      <c r="H129" s="55">
        <f>IF(H$122=0,0.5*Assumptions!$I$10,MAX(Assumptions!$I$10,Assumptions!$I$11*H123))</f>
        <v>26.024999999999999</v>
      </c>
      <c r="I129" s="55">
        <f>IF(I$122=0,0.5*Assumptions!$I$10,MAX(Assumptions!$I$10,Assumptions!$I$11*I123))</f>
        <v>38.516999999999996</v>
      </c>
      <c r="J129" s="55">
        <f>IF(J$122=0,0.5*Assumptions!$I$10,MAX(Assumptions!$I$10,Assumptions!$I$11*J123))</f>
        <v>51.612779999999994</v>
      </c>
      <c r="K129" s="55">
        <f>IF(K$122=0,0.5*Assumptions!$I$10,MAX(Assumptions!$I$10,Assumptions!$I$11*K123))</f>
        <v>57.806313599999996</v>
      </c>
      <c r="L129" s="55">
        <f>IF(L$122=0,0.5*Assumptions!$I$10,MAX(Assumptions!$I$10,Assumptions!$I$11*L123))</f>
        <v>64.743071232000005</v>
      </c>
      <c r="M129" s="55">
        <f>IF(M$122=0,0.5*Assumptions!$I$10,MAX(Assumptions!$I$10,Assumptions!$I$11*M123))</f>
        <v>72.512239779840016</v>
      </c>
    </row>
    <row r="130" spans="2:13" ht="15" customHeight="1" x14ac:dyDescent="0.35">
      <c r="B130" s="51" t="s">
        <v>726</v>
      </c>
      <c r="C130" s="55">
        <f>IF(C$122=0,0,Assumptions!$I$9*C123)</f>
        <v>0</v>
      </c>
      <c r="D130" s="55">
        <f>IF(D$122=0,0,Assumptions!$I$9*D123)</f>
        <v>6.25</v>
      </c>
      <c r="E130" s="55">
        <f>IF(E$122=0,0,Assumptions!$I$9*E123)</f>
        <v>12.0636126462874</v>
      </c>
      <c r="F130" s="55">
        <f>IF(F$122=0,0,Assumptions!$I$9*F123)</f>
        <v>23.284920012746447</v>
      </c>
      <c r="G130" s="55">
        <f>IF(G$122=0,0,Assumptions!$I$9*G123)</f>
        <v>44.944040885369375</v>
      </c>
      <c r="H130" s="55">
        <f>IF(H$122=0,0,Assumptions!$I$9*H123)</f>
        <v>86.75</v>
      </c>
      <c r="I130" s="55">
        <f>IF(I$122=0,0,Assumptions!$I$9*I123)</f>
        <v>128.38999999999999</v>
      </c>
      <c r="J130" s="55">
        <f>IF(J$122=0,0,Assumptions!$I$9*J123)</f>
        <v>172.04259999999999</v>
      </c>
      <c r="K130" s="55">
        <f>IF(K$122=0,0,Assumptions!$I$9*K123)</f>
        <v>192.687712</v>
      </c>
      <c r="L130" s="55">
        <f>IF(L$122=0,0,Assumptions!$I$9*L123)</f>
        <v>215.81023744000004</v>
      </c>
      <c r="M130" s="55">
        <f>IF(M$122=0,0,Assumptions!$I$9*M123)</f>
        <v>241.70746593280006</v>
      </c>
    </row>
    <row r="131" spans="2:13" ht="15" customHeight="1" x14ac:dyDescent="0.35">
      <c r="B131" s="51" t="s">
        <v>727</v>
      </c>
      <c r="C131" s="55">
        <f t="shared" ref="C131:M131" si="25">C126-C127-C130-C129-C128</f>
        <v>-15</v>
      </c>
      <c r="D131" s="55">
        <f t="shared" si="25"/>
        <v>-29.25</v>
      </c>
      <c r="E131" s="55">
        <f t="shared" si="25"/>
        <v>-33.203256599475431</v>
      </c>
      <c r="F131" s="55">
        <f t="shared" si="25"/>
        <v>-26.552328000849762</v>
      </c>
      <c r="G131" s="55">
        <f t="shared" si="25"/>
        <v>-22.003730607642044</v>
      </c>
      <c r="H131" s="55">
        <f t="shared" si="25"/>
        <v>-13.675000000000036</v>
      </c>
      <c r="I131" s="55">
        <f t="shared" si="25"/>
        <v>23.245799999999996</v>
      </c>
      <c r="J131" s="55">
        <f t="shared" si="25"/>
        <v>32.849371999999981</v>
      </c>
      <c r="K131" s="55">
        <f t="shared" si="25"/>
        <v>37.391296639999993</v>
      </c>
      <c r="L131" s="55">
        <f t="shared" si="25"/>
        <v>42.478252236799946</v>
      </c>
      <c r="M131" s="55">
        <f t="shared" si="25"/>
        <v>48.175642505215983</v>
      </c>
    </row>
    <row r="132" spans="2:13" ht="15" customHeight="1" x14ac:dyDescent="0.35">
      <c r="B132" s="51" t="s">
        <v>728</v>
      </c>
      <c r="C132" s="55">
        <f t="shared" ref="C132:M132" si="26">IF(C$122&lt;=$C$118,C130,C126-C127-C129-C128-C133)</f>
        <v>0</v>
      </c>
      <c r="D132" s="55">
        <f t="shared" si="26"/>
        <v>6.25</v>
      </c>
      <c r="E132" s="55">
        <f t="shared" si="26"/>
        <v>12.0636126462874</v>
      </c>
      <c r="F132" s="55">
        <f t="shared" si="26"/>
        <v>23.284920012746447</v>
      </c>
      <c r="G132" s="55">
        <f t="shared" si="26"/>
        <v>44.944040885369375</v>
      </c>
      <c r="H132" s="55">
        <f t="shared" si="26"/>
        <v>86.75</v>
      </c>
      <c r="I132" s="55">
        <f t="shared" si="26"/>
        <v>116.71372</v>
      </c>
      <c r="J132" s="55">
        <f t="shared" si="26"/>
        <v>135.3867616</v>
      </c>
      <c r="K132" s="55">
        <f t="shared" si="26"/>
        <v>126.79839500799997</v>
      </c>
      <c r="L132" s="55">
        <f t="shared" si="26"/>
        <v>114.12725106687992</v>
      </c>
      <c r="M132" s="55">
        <f t="shared" si="26"/>
        <v>96.517135691775991</v>
      </c>
    </row>
    <row r="133" spans="2:13" ht="15" customHeight="1" x14ac:dyDescent="0.35">
      <c r="B133" s="51" t="s">
        <v>729</v>
      </c>
      <c r="C133" s="55">
        <f>IF(C$122&lt;=$C$118,C131,($C$142+(Assumptions!$I$18-$C$142)*MIN(MAX(C$122-$C$118,0)/Assumptions!$D$33,1))*C123)</f>
        <v>-15</v>
      </c>
      <c r="D133" s="55">
        <f>IF(D$122&lt;=$C$118,D131,($C$142+(Assumptions!$I$18-$C$142)*MIN(MAX(D$122-$C$118,0)/Assumptions!$D$33,1))*D123)</f>
        <v>-29.25</v>
      </c>
      <c r="E133" s="55">
        <f>IF(E$122&lt;=$C$118,E131,($C$142+(Assumptions!$I$18-$C$142)*MIN(MAX(E$122-$C$118,0)/Assumptions!$D$33,1))*E123)</f>
        <v>-33.203256599475431</v>
      </c>
      <c r="F133" s="55">
        <f>IF(F$122&lt;=$C$118,F131,($C$142+(Assumptions!$I$18-$C$142)*MIN(MAX(F$122-$C$118,0)/Assumptions!$D$33,1))*F123)</f>
        <v>-26.552328000849762</v>
      </c>
      <c r="G133" s="55">
        <f>IF(G$122&lt;=$C$118,G131,($C$142+(Assumptions!$I$18-$C$142)*MIN(MAX(G$122-$C$118,0)/Assumptions!$D$33,1))*G123)</f>
        <v>-22.003730607642044</v>
      </c>
      <c r="H133" s="55">
        <f>IF(H$122&lt;=$C$118,H131,($C$142+(Assumptions!$I$18-$C$142)*MIN(MAX(H$122-$C$118,0)/Assumptions!$D$33,1))*H123)</f>
        <v>-13.675000000000036</v>
      </c>
      <c r="I133" s="55">
        <f>IF(I$122&lt;=$C$118,I131,($C$142+(Assumptions!$I$18-$C$142)*MIN(MAX(I$122-$C$118,0)/Assumptions!$D$33,1))*I123)</f>
        <v>34.922080000000001</v>
      </c>
      <c r="J133" s="55">
        <f>IF(J$122&lt;=$C$118,J131,($C$142+(Assumptions!$I$18-$C$142)*MIN(MAX(J$122-$C$118,0)/Assumptions!$D$33,1))*J123)</f>
        <v>69.505210399999996</v>
      </c>
      <c r="K133" s="55">
        <f>IF(K$122&lt;=$C$118,K131,($C$142+(Assumptions!$I$18-$C$142)*MIN(MAX(K$122-$C$118,0)/Assumptions!$D$33,1))*K123)</f>
        <v>103.28061363200001</v>
      </c>
      <c r="L133" s="55">
        <f>IF(L$122&lt;=$C$118,L131,($C$142+(Assumptions!$I$18-$C$142)*MIN(MAX(L$122-$C$118,0)/Assumptions!$D$33,1))*L123)</f>
        <v>144.16123860992002</v>
      </c>
      <c r="M133" s="55">
        <f>IF(M$122&lt;=$C$118,M131,($C$142+(Assumptions!$I$18-$C$142)*MIN(MAX(M$122-$C$118,0)/Assumptions!$D$33,1))*M123)</f>
        <v>193.36597274624006</v>
      </c>
    </row>
    <row r="134" spans="2:13" ht="15" customHeight="1" x14ac:dyDescent="0.35">
      <c r="B134" s="51" t="s">
        <v>730</v>
      </c>
      <c r="C134" s="55">
        <f>Assumptions!$I$14/365*C123</f>
        <v>0</v>
      </c>
      <c r="D134" s="55">
        <f>Assumptions!$I$14/365*D123</f>
        <v>2.054794520547945</v>
      </c>
      <c r="E134" s="55">
        <f>Assumptions!$I$14/365*E123</f>
        <v>3.9661192261766791</v>
      </c>
      <c r="F134" s="55">
        <f>Assumptions!$I$14/365*F123</f>
        <v>7.6553161685741742</v>
      </c>
      <c r="G134" s="55">
        <f>Assumptions!$I$14/365*G123</f>
        <v>14.776123030806369</v>
      </c>
      <c r="H134" s="55">
        <f>Assumptions!$I$14/365*H123</f>
        <v>28.520547945205479</v>
      </c>
      <c r="I134" s="55">
        <f>Assumptions!$I$14/365*I123</f>
        <v>42.210410958904106</v>
      </c>
      <c r="J134" s="55">
        <f>Assumptions!$I$14/365*J123</f>
        <v>56.561950684931503</v>
      </c>
      <c r="K134" s="55">
        <f>Assumptions!$I$14/365*K123</f>
        <v>63.349384767123283</v>
      </c>
      <c r="L134" s="55">
        <f>Assumptions!$I$14/365*L123</f>
        <v>70.951310939178086</v>
      </c>
      <c r="M134" s="55">
        <f>Assumptions!$I$14/365*M123</f>
        <v>79.465468251879471</v>
      </c>
    </row>
    <row r="135" spans="2:13" ht="15" customHeight="1" x14ac:dyDescent="0.35">
      <c r="B135" s="51" t="s">
        <v>731</v>
      </c>
      <c r="C135" s="55">
        <f>C134</f>
        <v>0</v>
      </c>
      <c r="D135" s="55">
        <f t="shared" ref="D135:M135" si="27">D134-C134</f>
        <v>2.054794520547945</v>
      </c>
      <c r="E135" s="55">
        <f t="shared" si="27"/>
        <v>1.9113247056287341</v>
      </c>
      <c r="F135" s="55">
        <f t="shared" si="27"/>
        <v>3.6891969423974951</v>
      </c>
      <c r="G135" s="55">
        <f t="shared" si="27"/>
        <v>7.1208068622321949</v>
      </c>
      <c r="H135" s="55">
        <f t="shared" si="27"/>
        <v>13.74442491439911</v>
      </c>
      <c r="I135" s="55">
        <f t="shared" si="27"/>
        <v>13.689863013698627</v>
      </c>
      <c r="J135" s="55">
        <f t="shared" si="27"/>
        <v>14.351539726027397</v>
      </c>
      <c r="K135" s="55">
        <f t="shared" si="27"/>
        <v>6.7874340821917798</v>
      </c>
      <c r="L135" s="55">
        <f t="shared" si="27"/>
        <v>7.601926172054803</v>
      </c>
      <c r="M135" s="55">
        <f t="shared" si="27"/>
        <v>8.5141573127013856</v>
      </c>
    </row>
    <row r="136" spans="2:13" ht="15" customHeight="1" x14ac:dyDescent="0.35">
      <c r="B136" s="51" t="s">
        <v>732</v>
      </c>
      <c r="C136" s="55">
        <f t="shared" ref="C136:M136" si="28">C133-C135</f>
        <v>-15</v>
      </c>
      <c r="D136" s="55">
        <f t="shared" si="28"/>
        <v>-31.304794520547944</v>
      </c>
      <c r="E136" s="55">
        <f t="shared" si="28"/>
        <v>-35.114581305104167</v>
      </c>
      <c r="F136" s="55">
        <f t="shared" si="28"/>
        <v>-30.241524943247256</v>
      </c>
      <c r="G136" s="55">
        <f t="shared" si="28"/>
        <v>-29.124537469874241</v>
      </c>
      <c r="H136" s="55">
        <f t="shared" si="28"/>
        <v>-27.419424914399144</v>
      </c>
      <c r="I136" s="55">
        <f t="shared" si="28"/>
        <v>21.232216986301374</v>
      </c>
      <c r="J136" s="55">
        <f t="shared" si="28"/>
        <v>55.153670673972599</v>
      </c>
      <c r="K136" s="55">
        <f t="shared" si="28"/>
        <v>96.493179549808232</v>
      </c>
      <c r="L136" s="55">
        <f t="shared" si="28"/>
        <v>136.55931243786523</v>
      </c>
      <c r="M136" s="55">
        <f t="shared" si="28"/>
        <v>184.85181543353866</v>
      </c>
    </row>
    <row r="137" spans="2:13" ht="15" customHeight="1" x14ac:dyDescent="0.35">
      <c r="B137" s="51" t="s">
        <v>733</v>
      </c>
      <c r="C137" s="55">
        <f t="shared" ref="C137:M137" si="29">MAX(-C136,0)</f>
        <v>15</v>
      </c>
      <c r="D137" s="55">
        <f t="shared" si="29"/>
        <v>31.304794520547944</v>
      </c>
      <c r="E137" s="55">
        <f t="shared" si="29"/>
        <v>35.114581305104167</v>
      </c>
      <c r="F137" s="55">
        <f t="shared" si="29"/>
        <v>30.241524943247256</v>
      </c>
      <c r="G137" s="55">
        <f t="shared" si="29"/>
        <v>29.124537469874241</v>
      </c>
      <c r="H137" s="55">
        <f t="shared" si="29"/>
        <v>27.419424914399144</v>
      </c>
      <c r="I137" s="55">
        <f t="shared" si="29"/>
        <v>0</v>
      </c>
      <c r="J137" s="55">
        <f t="shared" si="29"/>
        <v>0</v>
      </c>
      <c r="K137" s="55">
        <f t="shared" si="29"/>
        <v>0</v>
      </c>
      <c r="L137" s="55">
        <f t="shared" si="29"/>
        <v>0</v>
      </c>
      <c r="M137" s="55">
        <f t="shared" si="29"/>
        <v>0</v>
      </c>
    </row>
    <row r="138" spans="2:13" ht="15" customHeight="1" x14ac:dyDescent="0.35">
      <c r="B138" s="51" t="s">
        <v>734</v>
      </c>
      <c r="C138" s="55">
        <f>C136</f>
        <v>-15</v>
      </c>
      <c r="D138" s="55">
        <f t="shared" ref="D138:M138" si="30">C138+D136</f>
        <v>-46.304794520547944</v>
      </c>
      <c r="E138" s="55">
        <f t="shared" si="30"/>
        <v>-81.419375825652111</v>
      </c>
      <c r="F138" s="55">
        <f t="shared" si="30"/>
        <v>-111.66090076889937</v>
      </c>
      <c r="G138" s="55">
        <f t="shared" si="30"/>
        <v>-140.78543823877362</v>
      </c>
      <c r="H138" s="55">
        <f t="shared" si="30"/>
        <v>-168.20486315317277</v>
      </c>
      <c r="I138" s="55">
        <f t="shared" si="30"/>
        <v>-146.97264616687139</v>
      </c>
      <c r="J138" s="55">
        <f t="shared" si="30"/>
        <v>-91.818975492898787</v>
      </c>
      <c r="K138" s="55">
        <f t="shared" si="30"/>
        <v>4.6742040569094456</v>
      </c>
      <c r="L138" s="55">
        <f t="shared" si="30"/>
        <v>141.23351649477468</v>
      </c>
      <c r="M138" s="55">
        <f t="shared" si="30"/>
        <v>326.08533192831334</v>
      </c>
    </row>
    <row r="139" spans="2:13" ht="15" customHeight="1" x14ac:dyDescent="0.35">
      <c r="B139" s="51" t="s">
        <v>735</v>
      </c>
      <c r="C139" s="56">
        <f>(1+Assumptions!$I$15)^(-C$122)</f>
        <v>1</v>
      </c>
      <c r="D139" s="56">
        <f>(1+Assumptions!$I$15)^(-D$122)</f>
        <v>0.89847259658580414</v>
      </c>
      <c r="E139" s="56">
        <f>(1+Assumptions!$I$15)^(-E$122)</f>
        <v>0.80725300681563716</v>
      </c>
      <c r="F139" s="56">
        <f>(1+Assumptions!$I$15)^(-F$122)</f>
        <v>0.72529470513534333</v>
      </c>
      <c r="G139" s="56">
        <f>(1+Assumptions!$I$15)^(-G$122)</f>
        <v>0.65165741701288704</v>
      </c>
      <c r="H139" s="56">
        <f>(1+Assumptions!$I$15)^(-H$122)</f>
        <v>0.58549633154796688</v>
      </c>
      <c r="I139" s="56">
        <f>(1+Assumptions!$I$15)^(-I$122)</f>
        <v>0.52605240929736463</v>
      </c>
      <c r="J139" s="56">
        <f>(1+Assumptions!$I$15)^(-J$122)</f>
        <v>0.47264367412162139</v>
      </c>
      <c r="K139" s="56">
        <f>(1+Assumptions!$I$15)^(-K$122)</f>
        <v>0.42465738914790779</v>
      </c>
      <c r="L139" s="56">
        <f>(1+Assumptions!$I$15)^(-L$122)</f>
        <v>0.381543027087069</v>
      </c>
      <c r="M139" s="56">
        <f>(1+Assumptions!$I$15)^(-M$122)</f>
        <v>0.34280595425612664</v>
      </c>
    </row>
    <row r="140" spans="2:13" ht="15" customHeight="1" x14ac:dyDescent="0.35">
      <c r="B140" s="51" t="s">
        <v>736</v>
      </c>
      <c r="C140" s="55">
        <f>Assumptions!$I$19*(1+Assumptions!$I$16)^C$122</f>
        <v>690</v>
      </c>
      <c r="D140" s="55">
        <f>Assumptions!$I$19*(1+Assumptions!$I$16)^D$122</f>
        <v>772.80000000000007</v>
      </c>
      <c r="E140" s="55">
        <f>Assumptions!$I$19*(1+Assumptions!$I$16)^E$122</f>
        <v>865.53600000000017</v>
      </c>
      <c r="F140" s="55">
        <f>Assumptions!$I$19*(1+Assumptions!$I$16)^F$122</f>
        <v>969.40032000000031</v>
      </c>
      <c r="G140" s="55">
        <f>Assumptions!$I$19*(1+Assumptions!$I$16)^G$122</f>
        <v>1085.7283584000002</v>
      </c>
      <c r="H140" s="55">
        <f>Assumptions!$I$19*(1+Assumptions!$I$16)^H$122</f>
        <v>1216.0157614080003</v>
      </c>
      <c r="I140" s="55">
        <f>Assumptions!$I$19*(1+Assumptions!$I$16)^I$122</f>
        <v>1361.9376527769605</v>
      </c>
      <c r="J140" s="55">
        <f>Assumptions!$I$19*(1+Assumptions!$I$16)^J$122</f>
        <v>1525.3701711101958</v>
      </c>
      <c r="K140" s="55">
        <f>Assumptions!$I$19*(1+Assumptions!$I$16)^K$122</f>
        <v>1708.4145916434195</v>
      </c>
      <c r="L140" s="55">
        <f>Assumptions!$I$19*(1+Assumptions!$I$16)^L$122</f>
        <v>1913.4243426406299</v>
      </c>
      <c r="M140" s="55">
        <f>Assumptions!$I$19*(1+Assumptions!$I$16)^M$122</f>
        <v>2143.0352637575056</v>
      </c>
    </row>
    <row r="141" spans="2:13" ht="15" customHeight="1" x14ac:dyDescent="0.35">
      <c r="B141" s="51" t="s">
        <v>737</v>
      </c>
      <c r="C141" s="55">
        <f>(Assumptions!$D$30+(Assumptions!$I$18-Assumptions!$D$30)*MIN(C$122/Assumptions!$D$33,1))*C140</f>
        <v>24.150000000000002</v>
      </c>
      <c r="D141" s="55">
        <f>(Assumptions!$D$30+(Assumptions!$I$18-Assumptions!$D$30)*MIN(D$122/Assumptions!$D$33,1))*D140</f>
        <v>52.55040000000001</v>
      </c>
      <c r="E141" s="55">
        <f>(Assumptions!$D$30+(Assumptions!$I$18-Assumptions!$D$30)*MIN(E$122/Assumptions!$D$33,1))*E140</f>
        <v>87.419136000000023</v>
      </c>
      <c r="F141" s="55">
        <f>(Assumptions!$D$30+(Assumptions!$I$18-Assumptions!$D$30)*MIN(F$122/Assumptions!$D$33,1))*F140</f>
        <v>129.89964288000004</v>
      </c>
      <c r="G141" s="55">
        <f>(Assumptions!$D$30+(Assumptions!$I$18-Assumptions!$D$30)*MIN(G$122/Assumptions!$D$33,1))*G140</f>
        <v>181.31663585280003</v>
      </c>
      <c r="H141" s="55">
        <f>(Assumptions!$D$30+(Assumptions!$I$18-Assumptions!$D$30)*MIN(H$122/Assumptions!$D$33,1))*H140</f>
        <v>243.20315228160007</v>
      </c>
      <c r="I141" s="55">
        <f>(Assumptions!$D$30+(Assumptions!$I$18-Assumptions!$D$30)*MIN(I$122/Assumptions!$D$33,1))*I140</f>
        <v>272.38753055539212</v>
      </c>
      <c r="J141" s="55">
        <f>(Assumptions!$D$30+(Assumptions!$I$18-Assumptions!$D$30)*MIN(J$122/Assumptions!$D$33,1))*J140</f>
        <v>305.07403422203919</v>
      </c>
      <c r="K141" s="55">
        <f>(Assumptions!$D$30+(Assumptions!$I$18-Assumptions!$D$30)*MIN(K$122/Assumptions!$D$33,1))*K140</f>
        <v>341.68291832868391</v>
      </c>
      <c r="L141" s="55">
        <f>(Assumptions!$D$30+(Assumptions!$I$18-Assumptions!$D$30)*MIN(L$122/Assumptions!$D$33,1))*L140</f>
        <v>382.684868528126</v>
      </c>
      <c r="M141" s="55">
        <f>(Assumptions!$D$30+(Assumptions!$I$18-Assumptions!$D$30)*MIN(M$122/Assumptions!$D$33,1))*M140</f>
        <v>428.60705275150116</v>
      </c>
    </row>
    <row r="142" spans="2:13" ht="15" customHeight="1" x14ac:dyDescent="0.35">
      <c r="B142" s="51" t="s">
        <v>738</v>
      </c>
      <c r="C142" s="53">
        <f>MAX(Assumptions!$D$30,INDEX(C131:M131,$C$118+1)/INDEX(C123:M123,$C$118+1))</f>
        <v>3.5000000000000003E-2</v>
      </c>
    </row>
    <row r="144" spans="2:13" ht="15" customHeight="1" x14ac:dyDescent="0.35">
      <c r="B144" s="51" t="s">
        <v>739</v>
      </c>
      <c r="C144" s="57">
        <f>SUMPRODUCT($C$137:$M$137,$C$139:$M$139,($C$122:$M$122&lt;=$C$118)*1)</f>
        <v>128.44006283648383</v>
      </c>
    </row>
    <row r="145" spans="2:3" ht="15" customHeight="1" x14ac:dyDescent="0.35">
      <c r="B145" s="51" t="s">
        <v>740</v>
      </c>
      <c r="C145" s="57">
        <f>-MIN($C$138:$M$138)</f>
        <v>168.20486315317277</v>
      </c>
    </row>
    <row r="146" spans="2:3" ht="15" customHeight="1" x14ac:dyDescent="0.35">
      <c r="B146" s="51" t="s">
        <v>741</v>
      </c>
      <c r="C146" s="58">
        <f>Assumptions!$I$17</f>
        <v>0.11</v>
      </c>
    </row>
    <row r="147" spans="2:3" ht="15" customHeight="1" x14ac:dyDescent="0.35">
      <c r="B147" s="59" t="s">
        <v>742</v>
      </c>
      <c r="C147" s="60">
        <f>$C$144/$C$146</f>
        <v>1167.6369348771257</v>
      </c>
    </row>
    <row r="148" spans="2:3" ht="15" customHeight="1" x14ac:dyDescent="0.35">
      <c r="B148" s="51" t="s">
        <v>743</v>
      </c>
      <c r="C148" s="57">
        <f>SUMPRODUCT($C$141:$M$141-$C$133:$M$133*($C$122:$M$122&gt;$C$118),$C$139:$M$139,($C$122:$M$122&gt;=1)*1)</f>
        <v>981.69861974264131</v>
      </c>
    </row>
    <row r="149" spans="2:3" ht="15" customHeight="1" x14ac:dyDescent="0.35">
      <c r="B149" s="51" t="s">
        <v>744</v>
      </c>
      <c r="C149" s="57">
        <f>$M$140-$M$123</f>
        <v>1176.2054000263054</v>
      </c>
    </row>
    <row r="150" spans="2:3" ht="15" customHeight="1" x14ac:dyDescent="0.35">
      <c r="B150" s="51" t="s">
        <v>745</v>
      </c>
      <c r="C150" s="57">
        <f>$C$149*Assumptions!$I$18/(Assumptions!$I$15-Assumptions!$I$25)*$M$139</f>
        <v>1280.0324271657994</v>
      </c>
    </row>
    <row r="151" spans="2:3" ht="15" customHeight="1" x14ac:dyDescent="0.35">
      <c r="B151" s="59" t="s">
        <v>746</v>
      </c>
      <c r="C151" s="60">
        <f>$C$148+$C$150</f>
        <v>2261.7310469084405</v>
      </c>
    </row>
    <row r="152" spans="2:3" ht="15" customHeight="1" x14ac:dyDescent="0.35">
      <c r="B152" s="59" t="s">
        <v>747</v>
      </c>
      <c r="C152" s="60">
        <f>$C$147+$C$151</f>
        <v>3429.3679817855664</v>
      </c>
    </row>
    <row r="153" spans="2:3" ht="15" customHeight="1" x14ac:dyDescent="0.35">
      <c r="B153" s="51" t="s">
        <v>748</v>
      </c>
      <c r="C153" s="57">
        <f>Assumptions!$I$21+Assumptions!$I$23+Assumptions!$I$20-Assumptions!$I$22</f>
        <v>527</v>
      </c>
    </row>
    <row r="154" spans="2:3" ht="15" customHeight="1" x14ac:dyDescent="0.35">
      <c r="B154" s="51" t="s">
        <v>749</v>
      </c>
      <c r="C154" s="57">
        <f>Assumptions!$D$29+$C$153</f>
        <v>3233.45</v>
      </c>
    </row>
    <row r="155" spans="2:3" ht="15" customHeight="1" x14ac:dyDescent="0.35">
      <c r="B155" s="59" t="s">
        <v>750</v>
      </c>
      <c r="C155" s="60">
        <f>$C$152-$C$153</f>
        <v>2902.3679817855664</v>
      </c>
    </row>
    <row r="156" spans="2:3" ht="15" customHeight="1" x14ac:dyDescent="0.35">
      <c r="B156" s="51" t="s">
        <v>751</v>
      </c>
      <c r="C156" s="57">
        <f>$C$155-Assumptions!$D$29</f>
        <v>195.91798178556655</v>
      </c>
    </row>
    <row r="157" spans="2:3" ht="15" customHeight="1" x14ac:dyDescent="0.35">
      <c r="B157" s="51" t="s">
        <v>752</v>
      </c>
      <c r="C157" s="57">
        <f>SUMPRODUCT($C$137:$M$137,$C$139:$M$139,($C$122:$M$122&lt;=$C$120)*1)</f>
        <v>93.406869276634907</v>
      </c>
    </row>
    <row r="158" spans="2:3" ht="15" customHeight="1" x14ac:dyDescent="0.35">
      <c r="B158" s="51" t="s">
        <v>753</v>
      </c>
      <c r="C158" s="57">
        <f>$C$144+(1/$C$146-1)*$C$157</f>
        <v>884.18655062016637</v>
      </c>
    </row>
    <row r="159" spans="2:3" ht="15" customHeight="1" x14ac:dyDescent="0.35">
      <c r="B159" s="51" t="s">
        <v>754</v>
      </c>
      <c r="C159" s="57">
        <f>$C$158+$C$151-$C$153</f>
        <v>2618.9175975286071</v>
      </c>
    </row>
    <row r="160" spans="2:3" ht="15" customHeight="1" x14ac:dyDescent="0.35">
      <c r="B160" s="51" t="s">
        <v>755</v>
      </c>
      <c r="C160" s="57">
        <f>SUMPRODUCT($C$141:$M$141,$C$139:$M$139,($C$122:$M$122&gt;=1)*1)+$M$141*(1+Assumptions!$I$25)/(Assumptions!$I$15-Assumptions!$I$25)*$M$139</f>
        <v>3646.8877553117895</v>
      </c>
    </row>
    <row r="162" spans="1:13" ht="15" customHeight="1" x14ac:dyDescent="0.35">
      <c r="A162" s="49" t="s">
        <v>791</v>
      </c>
      <c r="B162" s="50"/>
      <c r="C162" s="50"/>
      <c r="D162" s="50"/>
      <c r="E162" s="50"/>
      <c r="F162" s="50"/>
      <c r="G162" s="50"/>
      <c r="H162" s="50"/>
      <c r="I162" s="50"/>
      <c r="J162" s="50"/>
      <c r="K162" s="50"/>
      <c r="L162" s="50"/>
      <c r="M162" s="50"/>
    </row>
    <row r="163" spans="1:13" ht="15" customHeight="1" x14ac:dyDescent="0.35">
      <c r="B163" s="51" t="s">
        <v>715</v>
      </c>
      <c r="C163" s="52">
        <f>ROUND(Sensitivity!$E$17,0)</f>
        <v>6</v>
      </c>
    </row>
    <row r="164" spans="1:13" ht="15" customHeight="1" x14ac:dyDescent="0.35">
      <c r="B164" s="51" t="s">
        <v>716</v>
      </c>
      <c r="C164" s="53">
        <f>(Assumptions!$I$26/Assumptions!$I$3)^(1/($C$163-1))</f>
        <v>1.6923020994413156</v>
      </c>
    </row>
    <row r="165" spans="1:13" ht="15" customHeight="1" x14ac:dyDescent="0.35">
      <c r="B165" s="51" t="s">
        <v>717</v>
      </c>
      <c r="C165" s="52">
        <f>INT(Assumptions!$I$24)</f>
        <v>3</v>
      </c>
    </row>
    <row r="167" spans="1:13" ht="15" customHeight="1" x14ac:dyDescent="0.35">
      <c r="B167" s="54" t="s">
        <v>718</v>
      </c>
      <c r="C167" s="54">
        <v>0</v>
      </c>
      <c r="D167" s="54">
        <v>1</v>
      </c>
      <c r="E167" s="54">
        <v>2</v>
      </c>
      <c r="F167" s="54">
        <v>3</v>
      </c>
      <c r="G167" s="54">
        <v>4</v>
      </c>
      <c r="H167" s="54">
        <v>5</v>
      </c>
      <c r="I167" s="54">
        <v>6</v>
      </c>
      <c r="J167" s="54">
        <v>7</v>
      </c>
      <c r="K167" s="54">
        <v>8</v>
      </c>
      <c r="L167" s="54">
        <v>9</v>
      </c>
      <c r="M167" s="54">
        <v>10</v>
      </c>
    </row>
    <row r="168" spans="1:13" ht="15" customHeight="1" x14ac:dyDescent="0.35">
      <c r="B168" s="51" t="s">
        <v>719</v>
      </c>
      <c r="C168" s="55">
        <f>IF(C$167=0,0,IF(C$167&lt;=$C$163,Assumptions!$I$3*$C$164^(C$167-1),0))</f>
        <v>0</v>
      </c>
      <c r="D168" s="55">
        <f>IF(D$167=0,0,IF(D$167&lt;=$C$163,Assumptions!$I$3*$C$164^(D$167-1),C168*(1+IF(D$167-$C$163=1,Assumptions!$D$31,IF(D$167-$C$163=2,Assumptions!$D$32,Assumptions!$I$16)))))</f>
        <v>25</v>
      </c>
      <c r="E168" s="55">
        <f>IF(E$167=0,0,IF(E$167&lt;=$C$163,Assumptions!$I$3*$C$164^(E$167-1),D168*(1+IF(E$167-$C$163=1,Assumptions!$D$31,IF(E$167-$C$163=2,Assumptions!$D$32,Assumptions!$I$16)))))</f>
        <v>42.30755248603289</v>
      </c>
      <c r="F168" s="55">
        <f>IF(F$167=0,0,IF(F$167&lt;=$C$163,Assumptions!$I$3*$C$164^(F$167-1),E168*(1+IF(F$167-$C$163=1,Assumptions!$D$31,IF(F$167-$C$163=2,Assumptions!$D$32,Assumptions!$I$16)))))</f>
        <v>71.597159894337111</v>
      </c>
      <c r="G168" s="55">
        <f>IF(G$167=0,0,IF(G$167&lt;=$C$163,Assumptions!$I$3*$C$164^(G$167-1),F168*(1+IF(G$167-$C$163=1,Assumptions!$D$31,IF(G$167-$C$163=2,Assumptions!$D$32,Assumptions!$I$16)))))</f>
        <v>121.16402400322227</v>
      </c>
      <c r="H168" s="55">
        <f>IF(H$167=0,0,IF(H$167&lt;=$C$163,Assumptions!$I$3*$C$164^(H$167-1),G168*(1+IF(H$167-$C$163=1,Assumptions!$D$31,IF(H$167-$C$163=2,Assumptions!$D$32,Assumptions!$I$16)))))</f>
        <v>205.046132197411</v>
      </c>
      <c r="I168" s="55">
        <f>IF(I$167=0,0,IF(I$167&lt;=$C$163,Assumptions!$I$3*$C$164^(I$167-1),H168*(1+IF(I$167-$C$163=1,Assumptions!$D$31,IF(I$167-$C$163=2,Assumptions!$D$32,Assumptions!$I$16)))))</f>
        <v>347.00000000000017</v>
      </c>
      <c r="J168" s="55">
        <f>IF(J$167=0,0,IF(J$167&lt;=$C$163,Assumptions!$I$3*$C$164^(J$167-1),I168*(1+IF(J$167-$C$163=1,Assumptions!$D$31,IF(J$167-$C$163=2,Assumptions!$D$32,Assumptions!$I$16)))))</f>
        <v>513.56000000000029</v>
      </c>
      <c r="K168" s="55">
        <f>IF(K$167=0,0,IF(K$167&lt;=$C$163,Assumptions!$I$3*$C$164^(K$167-1),J168*(1+IF(K$167-$C$163=1,Assumptions!$D$31,IF(K$167-$C$163=2,Assumptions!$D$32,Assumptions!$I$16)))))</f>
        <v>688.17040000000043</v>
      </c>
      <c r="L168" s="55">
        <f>IF(L$167=0,0,IF(L$167&lt;=$C$163,Assumptions!$I$3*$C$164^(L$167-1),K168*(1+IF(L$167-$C$163=1,Assumptions!$D$31,IF(L$167-$C$163=2,Assumptions!$D$32,Assumptions!$I$16)))))</f>
        <v>770.75084800000059</v>
      </c>
      <c r="M168" s="55">
        <f>IF(M$167=0,0,IF(M$167&lt;=$C$163,Assumptions!$I$3*$C$164^(M$167-1),L168*(1+IF(M$167-$C$163=1,Assumptions!$D$31,IF(M$167-$C$163=2,Assumptions!$D$32,Assumptions!$I$16)))))</f>
        <v>863.24094976000072</v>
      </c>
    </row>
    <row r="169" spans="1:13" ht="15" customHeight="1" x14ac:dyDescent="0.35">
      <c r="B169" s="51" t="s">
        <v>720</v>
      </c>
      <c r="C169" s="53">
        <f>IF(C$167=0,0,IF(C$167&lt;=$C$163,IF(C$167&lt;=2,Assumptions!$I$4,Assumptions!$I$4+(C$167-2)/MAX($C$163-2,1)*(Assumptions!$I$5-Assumptions!$I$4)),Assumptions!$I$5))</f>
        <v>0</v>
      </c>
      <c r="D169" s="53">
        <f>IF(D$167=0,0,IF(D$167&lt;=$C$163,IF(D$167&lt;=2,Assumptions!$I$4,Assumptions!$I$4+(D$167-2)/MAX($C$163-2,1)*(Assumptions!$I$5-Assumptions!$I$4)),Assumptions!$I$5))</f>
        <v>0.6</v>
      </c>
      <c r="E169" s="53">
        <f>IF(E$167=0,0,IF(E$167&lt;=$C$163,IF(E$167&lt;=2,Assumptions!$I$4,Assumptions!$I$4+(E$167-2)/MAX($C$163-2,1)*(Assumptions!$I$5-Assumptions!$I$4)),Assumptions!$I$5))</f>
        <v>0.6</v>
      </c>
      <c r="F169" s="53">
        <f>IF(F$167=0,0,IF(F$167&lt;=$C$163,IF(F$167&lt;=2,Assumptions!$I$4,Assumptions!$I$4+(F$167-2)/MAX($C$163-2,1)*(Assumptions!$I$5-Assumptions!$I$4)),Assumptions!$I$5))</f>
        <v>0.625</v>
      </c>
      <c r="G169" s="53">
        <f>IF(G$167=0,0,IF(G$167&lt;=$C$163,IF(G$167&lt;=2,Assumptions!$I$4,Assumptions!$I$4+(G$167-2)/MAX($C$163-2,1)*(Assumptions!$I$5-Assumptions!$I$4)),Assumptions!$I$5))</f>
        <v>0.64999999999999991</v>
      </c>
      <c r="H169" s="53">
        <f>IF(H$167=0,0,IF(H$167&lt;=$C$163,IF(H$167&lt;=2,Assumptions!$I$4,Assumptions!$I$4+(H$167-2)/MAX($C$163-2,1)*(Assumptions!$I$5-Assumptions!$I$4)),Assumptions!$I$5))</f>
        <v>0.67499999999999993</v>
      </c>
      <c r="I169" s="53">
        <f>IF(I$167=0,0,IF(I$167&lt;=$C$163,IF(I$167&lt;=2,Assumptions!$I$4,Assumptions!$I$4+(I$167-2)/MAX($C$163-2,1)*(Assumptions!$I$5-Assumptions!$I$4)),Assumptions!$I$5))</f>
        <v>0.7</v>
      </c>
      <c r="J169" s="53">
        <f>IF(J$167=0,0,IF(J$167&lt;=$C$163,IF(J$167&lt;=2,Assumptions!$I$4,Assumptions!$I$4+(J$167-2)/MAX($C$163-2,1)*(Assumptions!$I$5-Assumptions!$I$4)),Assumptions!$I$5))</f>
        <v>0.7</v>
      </c>
      <c r="K169" s="53">
        <f>IF(K$167=0,0,IF(K$167&lt;=$C$163,IF(K$167&lt;=2,Assumptions!$I$4,Assumptions!$I$4+(K$167-2)/MAX($C$163-2,1)*(Assumptions!$I$5-Assumptions!$I$4)),Assumptions!$I$5))</f>
        <v>0.7</v>
      </c>
      <c r="L169" s="53">
        <f>IF(L$167=0,0,IF(L$167&lt;=$C$163,IF(L$167&lt;=2,Assumptions!$I$4,Assumptions!$I$4+(L$167-2)/MAX($C$163-2,1)*(Assumptions!$I$5-Assumptions!$I$4)),Assumptions!$I$5))</f>
        <v>0.7</v>
      </c>
      <c r="M169" s="53">
        <f>IF(M$167=0,0,IF(M$167&lt;=$C$163,IF(M$167&lt;=2,Assumptions!$I$4,Assumptions!$I$4+(M$167-2)/MAX($C$163-2,1)*(Assumptions!$I$5-Assumptions!$I$4)),Assumptions!$I$5))</f>
        <v>0.7</v>
      </c>
    </row>
    <row r="170" spans="1:13" ht="15" customHeight="1" x14ac:dyDescent="0.35">
      <c r="B170" s="51" t="s">
        <v>721</v>
      </c>
      <c r="C170" s="53">
        <f>IF(C$167=0,0,IF(C$167&lt;=$C$163,IF(C$167&lt;=2,Assumptions!$I$6,Assumptions!$I$7),Assumptions!$I$8))</f>
        <v>0</v>
      </c>
      <c r="D170" s="53">
        <f>IF(D$167=0,0,IF(D$167&lt;=$C$163,IF(D$167&lt;=2,Assumptions!$I$6,Assumptions!$I$7),Assumptions!$I$8))</f>
        <v>0.5</v>
      </c>
      <c r="E170" s="53">
        <f>IF(E$167=0,0,IF(E$167&lt;=$C$163,IF(E$167&lt;=2,Assumptions!$I$6,Assumptions!$I$7),Assumptions!$I$8))</f>
        <v>0.5</v>
      </c>
      <c r="F170" s="53">
        <f>IF(F$167=0,0,IF(F$167&lt;=$C$163,IF(F$167&lt;=2,Assumptions!$I$6,Assumptions!$I$7),Assumptions!$I$8))</f>
        <v>0.38</v>
      </c>
      <c r="G170" s="53">
        <f>IF(G$167=0,0,IF(G$167&lt;=$C$163,IF(G$167&lt;=2,Assumptions!$I$6,Assumptions!$I$7),Assumptions!$I$8))</f>
        <v>0.38</v>
      </c>
      <c r="H170" s="53">
        <f>IF(H$167=0,0,IF(H$167&lt;=$C$163,IF(H$167&lt;=2,Assumptions!$I$6,Assumptions!$I$7),Assumptions!$I$8))</f>
        <v>0.38</v>
      </c>
      <c r="I170" s="53">
        <f>IF(I$167=0,0,IF(I$167&lt;=$C$163,IF(I$167&lt;=2,Assumptions!$I$6,Assumptions!$I$7),Assumptions!$I$8))</f>
        <v>0.38</v>
      </c>
      <c r="J170" s="53">
        <f>IF(J$167=0,0,IF(J$167&lt;=$C$163,IF(J$167&lt;=2,Assumptions!$I$6,Assumptions!$I$7),Assumptions!$I$8))</f>
        <v>0.3</v>
      </c>
      <c r="K170" s="53">
        <f>IF(K$167=0,0,IF(K$167&lt;=$C$163,IF(K$167&lt;=2,Assumptions!$I$6,Assumptions!$I$7),Assumptions!$I$8))</f>
        <v>0.3</v>
      </c>
      <c r="L170" s="53">
        <f>IF(L$167=0,0,IF(L$167&lt;=$C$163,IF(L$167&lt;=2,Assumptions!$I$6,Assumptions!$I$7),Assumptions!$I$8))</f>
        <v>0.3</v>
      </c>
      <c r="M170" s="53">
        <f>IF(M$167=0,0,IF(M$167&lt;=$C$163,IF(M$167&lt;=2,Assumptions!$I$6,Assumptions!$I$7),Assumptions!$I$8))</f>
        <v>0.3</v>
      </c>
    </row>
    <row r="171" spans="1:13" ht="15" customHeight="1" x14ac:dyDescent="0.35">
      <c r="B171" s="51" t="s">
        <v>722</v>
      </c>
      <c r="C171" s="55">
        <f t="shared" ref="C171:M171" si="31">C169*C168</f>
        <v>0</v>
      </c>
      <c r="D171" s="55">
        <f t="shared" si="31"/>
        <v>15</v>
      </c>
      <c r="E171" s="55">
        <f t="shared" si="31"/>
        <v>25.384531491619732</v>
      </c>
      <c r="F171" s="55">
        <f t="shared" si="31"/>
        <v>44.748224933960692</v>
      </c>
      <c r="G171" s="55">
        <f t="shared" si="31"/>
        <v>78.756615602094456</v>
      </c>
      <c r="H171" s="55">
        <f t="shared" si="31"/>
        <v>138.40613923325242</v>
      </c>
      <c r="I171" s="55">
        <f t="shared" si="31"/>
        <v>242.90000000000009</v>
      </c>
      <c r="J171" s="55">
        <f t="shared" si="31"/>
        <v>359.49200000000019</v>
      </c>
      <c r="K171" s="55">
        <f t="shared" si="31"/>
        <v>481.71928000000025</v>
      </c>
      <c r="L171" s="55">
        <f t="shared" si="31"/>
        <v>539.52559360000032</v>
      </c>
      <c r="M171" s="55">
        <f t="shared" si="31"/>
        <v>604.26866483200047</v>
      </c>
    </row>
    <row r="172" spans="1:13" ht="15" customHeight="1" x14ac:dyDescent="0.35">
      <c r="B172" s="51" t="s">
        <v>723</v>
      </c>
      <c r="C172" s="55">
        <f t="shared" ref="C172:M172" si="32">C170*C168</f>
        <v>0</v>
      </c>
      <c r="D172" s="55">
        <f t="shared" si="32"/>
        <v>12.5</v>
      </c>
      <c r="E172" s="55">
        <f t="shared" si="32"/>
        <v>21.153776243016445</v>
      </c>
      <c r="F172" s="55">
        <f t="shared" si="32"/>
        <v>27.206920759848103</v>
      </c>
      <c r="G172" s="55">
        <f t="shared" si="32"/>
        <v>46.042329121224462</v>
      </c>
      <c r="H172" s="55">
        <f t="shared" si="32"/>
        <v>77.917530235016187</v>
      </c>
      <c r="I172" s="55">
        <f t="shared" si="32"/>
        <v>131.86000000000007</v>
      </c>
      <c r="J172" s="55">
        <f t="shared" si="32"/>
        <v>154.06800000000007</v>
      </c>
      <c r="K172" s="55">
        <f t="shared" si="32"/>
        <v>206.45112000000012</v>
      </c>
      <c r="L172" s="55">
        <f t="shared" si="32"/>
        <v>231.22525440000015</v>
      </c>
      <c r="M172" s="55">
        <f t="shared" si="32"/>
        <v>258.97228492800019</v>
      </c>
    </row>
    <row r="173" spans="1:13" ht="15" customHeight="1" x14ac:dyDescent="0.35">
      <c r="B173" s="51" t="s">
        <v>724</v>
      </c>
      <c r="C173" s="55">
        <f>Assumptions!$I$12+Assumptions!$I$13*C168</f>
        <v>5</v>
      </c>
      <c r="D173" s="55">
        <f>Assumptions!$I$12+Assumptions!$I$13*D168</f>
        <v>5.5</v>
      </c>
      <c r="E173" s="55">
        <f>Assumptions!$I$12+Assumptions!$I$13*E168</f>
        <v>5.8461510497206577</v>
      </c>
      <c r="F173" s="55">
        <f>Assumptions!$I$12+Assumptions!$I$13*F168</f>
        <v>6.4319431978867421</v>
      </c>
      <c r="G173" s="55">
        <f>Assumptions!$I$12+Assumptions!$I$13*G168</f>
        <v>7.4232804800644452</v>
      </c>
      <c r="H173" s="55">
        <f>Assumptions!$I$12+Assumptions!$I$13*H168</f>
        <v>9.1009226439482198</v>
      </c>
      <c r="I173" s="55">
        <f>Assumptions!$I$12+Assumptions!$I$13*I168</f>
        <v>11.940000000000005</v>
      </c>
      <c r="J173" s="55">
        <f>Assumptions!$I$12+Assumptions!$I$13*J168</f>
        <v>15.271200000000006</v>
      </c>
      <c r="K173" s="55">
        <f>Assumptions!$I$12+Assumptions!$I$13*K168</f>
        <v>18.763408000000009</v>
      </c>
      <c r="L173" s="55">
        <f>Assumptions!$I$12+Assumptions!$I$13*L168</f>
        <v>20.41501696000001</v>
      </c>
      <c r="M173" s="55">
        <f>Assumptions!$I$12+Assumptions!$I$13*M168</f>
        <v>22.264818995200013</v>
      </c>
    </row>
    <row r="174" spans="1:13" ht="15" customHeight="1" x14ac:dyDescent="0.35">
      <c r="B174" s="51" t="s">
        <v>725</v>
      </c>
      <c r="C174" s="55">
        <f>IF(C$167=0,0.5*Assumptions!$I$10,MAX(Assumptions!$I$10,Assumptions!$I$11*C168))</f>
        <v>10</v>
      </c>
      <c r="D174" s="55">
        <f>IF(D$167=0,0.5*Assumptions!$I$10,MAX(Assumptions!$I$10,Assumptions!$I$11*D168))</f>
        <v>20</v>
      </c>
      <c r="E174" s="55">
        <f>IF(E$167=0,0.5*Assumptions!$I$10,MAX(Assumptions!$I$10,Assumptions!$I$11*E168))</f>
        <v>20</v>
      </c>
      <c r="F174" s="55">
        <f>IF(F$167=0,0.5*Assumptions!$I$10,MAX(Assumptions!$I$10,Assumptions!$I$11*F168))</f>
        <v>20</v>
      </c>
      <c r="G174" s="55">
        <f>IF(G$167=0,0.5*Assumptions!$I$10,MAX(Assumptions!$I$10,Assumptions!$I$11*G168))</f>
        <v>20</v>
      </c>
      <c r="H174" s="55">
        <f>IF(H$167=0,0.5*Assumptions!$I$10,MAX(Assumptions!$I$10,Assumptions!$I$11*H168))</f>
        <v>20</v>
      </c>
      <c r="I174" s="55">
        <f>IF(I$167=0,0.5*Assumptions!$I$10,MAX(Assumptions!$I$10,Assumptions!$I$11*I168))</f>
        <v>26.025000000000013</v>
      </c>
      <c r="J174" s="55">
        <f>IF(J$167=0,0.5*Assumptions!$I$10,MAX(Assumptions!$I$10,Assumptions!$I$11*J168))</f>
        <v>38.517000000000017</v>
      </c>
      <c r="K174" s="55">
        <f>IF(K$167=0,0.5*Assumptions!$I$10,MAX(Assumptions!$I$10,Assumptions!$I$11*K168))</f>
        <v>51.612780000000029</v>
      </c>
      <c r="L174" s="55">
        <f>IF(L$167=0,0.5*Assumptions!$I$10,MAX(Assumptions!$I$10,Assumptions!$I$11*L168))</f>
        <v>57.806313600000038</v>
      </c>
      <c r="M174" s="55">
        <f>IF(M$167=0,0.5*Assumptions!$I$10,MAX(Assumptions!$I$10,Assumptions!$I$11*M168))</f>
        <v>64.743071232000048</v>
      </c>
    </row>
    <row r="175" spans="1:13" ht="15" customHeight="1" x14ac:dyDescent="0.35">
      <c r="B175" s="51" t="s">
        <v>726</v>
      </c>
      <c r="C175" s="55">
        <f>IF(C$167=0,0,Assumptions!$I$9*C168)</f>
        <v>0</v>
      </c>
      <c r="D175" s="55">
        <f>IF(D$167=0,0,Assumptions!$I$9*D168)</f>
        <v>6.25</v>
      </c>
      <c r="E175" s="55">
        <f>IF(E$167=0,0,Assumptions!$I$9*E168)</f>
        <v>10.576888121508222</v>
      </c>
      <c r="F175" s="55">
        <f>IF(F$167=0,0,Assumptions!$I$9*F168)</f>
        <v>17.899289973584278</v>
      </c>
      <c r="G175" s="55">
        <f>IF(G$167=0,0,Assumptions!$I$9*G168)</f>
        <v>30.291006000805567</v>
      </c>
      <c r="H175" s="55">
        <f>IF(H$167=0,0,Assumptions!$I$9*H168)</f>
        <v>51.261533049352749</v>
      </c>
      <c r="I175" s="55">
        <f>IF(I$167=0,0,Assumptions!$I$9*I168)</f>
        <v>86.750000000000043</v>
      </c>
      <c r="J175" s="55">
        <f>IF(J$167=0,0,Assumptions!$I$9*J168)</f>
        <v>128.39000000000007</v>
      </c>
      <c r="K175" s="55">
        <f>IF(K$167=0,0,Assumptions!$I$9*K168)</f>
        <v>172.04260000000011</v>
      </c>
      <c r="L175" s="55">
        <f>IF(L$167=0,0,Assumptions!$I$9*L168)</f>
        <v>192.68771200000015</v>
      </c>
      <c r="M175" s="55">
        <f>IF(M$167=0,0,Assumptions!$I$9*M168)</f>
        <v>215.81023744000018</v>
      </c>
    </row>
    <row r="176" spans="1:13" ht="15" customHeight="1" x14ac:dyDescent="0.35">
      <c r="B176" s="51" t="s">
        <v>727</v>
      </c>
      <c r="C176" s="55">
        <f t="shared" ref="C176:M176" si="33">C171-C172-C175-C174-C173</f>
        <v>-15</v>
      </c>
      <c r="D176" s="55">
        <f t="shared" si="33"/>
        <v>-29.25</v>
      </c>
      <c r="E176" s="55">
        <f t="shared" si="33"/>
        <v>-32.192283922625592</v>
      </c>
      <c r="F176" s="55">
        <f t="shared" si="33"/>
        <v>-26.78992899735843</v>
      </c>
      <c r="G176" s="55">
        <f t="shared" si="33"/>
        <v>-25.000000000000018</v>
      </c>
      <c r="H176" s="55">
        <f t="shared" si="33"/>
        <v>-19.873846695064739</v>
      </c>
      <c r="I176" s="55">
        <f t="shared" si="33"/>
        <v>-13.67500000000004</v>
      </c>
      <c r="J176" s="55">
        <f t="shared" si="33"/>
        <v>23.245800000000024</v>
      </c>
      <c r="K176" s="55">
        <f t="shared" si="33"/>
        <v>32.849371999999988</v>
      </c>
      <c r="L176" s="55">
        <f t="shared" si="33"/>
        <v>37.391296639999972</v>
      </c>
      <c r="M176" s="55">
        <f t="shared" si="33"/>
        <v>42.478252236800031</v>
      </c>
    </row>
    <row r="177" spans="2:13" ht="15" customHeight="1" x14ac:dyDescent="0.35">
      <c r="B177" s="51" t="s">
        <v>728</v>
      </c>
      <c r="C177" s="55">
        <f t="shared" ref="C177:M177" si="34">IF(C$167&lt;=$C$163,C175,C171-C172-C174-C173-C178)</f>
        <v>0</v>
      </c>
      <c r="D177" s="55">
        <f t="shared" si="34"/>
        <v>6.25</v>
      </c>
      <c r="E177" s="55">
        <f t="shared" si="34"/>
        <v>10.576888121508222</v>
      </c>
      <c r="F177" s="55">
        <f t="shared" si="34"/>
        <v>17.899289973584278</v>
      </c>
      <c r="G177" s="55">
        <f t="shared" si="34"/>
        <v>30.291006000805567</v>
      </c>
      <c r="H177" s="55">
        <f t="shared" si="34"/>
        <v>51.261533049352749</v>
      </c>
      <c r="I177" s="55">
        <f t="shared" si="34"/>
        <v>86.750000000000043</v>
      </c>
      <c r="J177" s="55">
        <f t="shared" si="34"/>
        <v>116.71372000000008</v>
      </c>
      <c r="K177" s="55">
        <f t="shared" si="34"/>
        <v>135.38676160000006</v>
      </c>
      <c r="L177" s="55">
        <f t="shared" si="34"/>
        <v>126.79839500800004</v>
      </c>
      <c r="M177" s="55">
        <f t="shared" si="34"/>
        <v>114.12725106688009</v>
      </c>
    </row>
    <row r="178" spans="2:13" ht="15" customHeight="1" x14ac:dyDescent="0.35">
      <c r="B178" s="51" t="s">
        <v>729</v>
      </c>
      <c r="C178" s="55">
        <f>IF(C$167&lt;=$C$163,C176,($C$187+(Assumptions!$I$18-$C$187)*MIN(MAX(C$167-$C$163,0)/Assumptions!$D$33,1))*C168)</f>
        <v>-15</v>
      </c>
      <c r="D178" s="55">
        <f>IF(D$167&lt;=$C$163,D176,($C$187+(Assumptions!$I$18-$C$187)*MIN(MAX(D$167-$C$163,0)/Assumptions!$D$33,1))*D168)</f>
        <v>-29.25</v>
      </c>
      <c r="E178" s="55">
        <f>IF(E$167&lt;=$C$163,E176,($C$187+(Assumptions!$I$18-$C$187)*MIN(MAX(E$167-$C$163,0)/Assumptions!$D$33,1))*E168)</f>
        <v>-32.192283922625592</v>
      </c>
      <c r="F178" s="55">
        <f>IF(F$167&lt;=$C$163,F176,($C$187+(Assumptions!$I$18-$C$187)*MIN(MAX(F$167-$C$163,0)/Assumptions!$D$33,1))*F168)</f>
        <v>-26.78992899735843</v>
      </c>
      <c r="G178" s="55">
        <f>IF(G$167&lt;=$C$163,G176,($C$187+(Assumptions!$I$18-$C$187)*MIN(MAX(G$167-$C$163,0)/Assumptions!$D$33,1))*G168)</f>
        <v>-25.000000000000018</v>
      </c>
      <c r="H178" s="55">
        <f>IF(H$167&lt;=$C$163,H176,($C$187+(Assumptions!$I$18-$C$187)*MIN(MAX(H$167-$C$163,0)/Assumptions!$D$33,1))*H168)</f>
        <v>-19.873846695064739</v>
      </c>
      <c r="I178" s="55">
        <f>IF(I$167&lt;=$C$163,I176,($C$187+(Assumptions!$I$18-$C$187)*MIN(MAX(I$167-$C$163,0)/Assumptions!$D$33,1))*I168)</f>
        <v>-13.67500000000004</v>
      </c>
      <c r="J178" s="55">
        <f>IF(J$167&lt;=$C$163,J176,($C$187+(Assumptions!$I$18-$C$187)*MIN(MAX(J$167-$C$163,0)/Assumptions!$D$33,1))*J168)</f>
        <v>34.922080000000022</v>
      </c>
      <c r="K178" s="55">
        <f>IF(K$167&lt;=$C$163,K176,($C$187+(Assumptions!$I$18-$C$187)*MIN(MAX(K$167-$C$163,0)/Assumptions!$D$33,1))*K168)</f>
        <v>69.505210400000053</v>
      </c>
      <c r="L178" s="55">
        <f>IF(L$167&lt;=$C$163,L176,($C$187+(Assumptions!$I$18-$C$187)*MIN(MAX(L$167-$C$163,0)/Assumptions!$D$33,1))*L168)</f>
        <v>103.28061363200008</v>
      </c>
      <c r="M178" s="55">
        <f>IF(M$167&lt;=$C$163,M176,($C$187+(Assumptions!$I$18-$C$187)*MIN(MAX(M$167-$C$163,0)/Assumptions!$D$33,1))*M168)</f>
        <v>144.16123860992013</v>
      </c>
    </row>
    <row r="179" spans="2:13" ht="15" customHeight="1" x14ac:dyDescent="0.35">
      <c r="B179" s="51" t="s">
        <v>730</v>
      </c>
      <c r="C179" s="55">
        <f>Assumptions!$I$14/365*C168</f>
        <v>0</v>
      </c>
      <c r="D179" s="55">
        <f>Assumptions!$I$14/365*D168</f>
        <v>2.054794520547945</v>
      </c>
      <c r="E179" s="55">
        <f>Assumptions!$I$14/365*E168</f>
        <v>3.477333081043799</v>
      </c>
      <c r="F179" s="55">
        <f>Assumptions!$I$14/365*F168</f>
        <v>5.8846980735071597</v>
      </c>
      <c r="G179" s="55">
        <f>Assumptions!$I$14/365*G168</f>
        <v>9.9586869043744315</v>
      </c>
      <c r="H179" s="55">
        <f>Assumptions!$I$14/365*H168</f>
        <v>16.85310675595159</v>
      </c>
      <c r="I179" s="55">
        <f>Assumptions!$I$14/365*I168</f>
        <v>28.520547945205493</v>
      </c>
      <c r="J179" s="55">
        <f>Assumptions!$I$14/365*J168</f>
        <v>42.210410958904134</v>
      </c>
      <c r="K179" s="55">
        <f>Assumptions!$I$14/365*K168</f>
        <v>56.561950684931539</v>
      </c>
      <c r="L179" s="55">
        <f>Assumptions!$I$14/365*L168</f>
        <v>63.349384767123333</v>
      </c>
      <c r="M179" s="55">
        <f>Assumptions!$I$14/365*M168</f>
        <v>70.951310939178143</v>
      </c>
    </row>
    <row r="180" spans="2:13" ht="15" customHeight="1" x14ac:dyDescent="0.35">
      <c r="B180" s="51" t="s">
        <v>731</v>
      </c>
      <c r="C180" s="55">
        <f>C179</f>
        <v>0</v>
      </c>
      <c r="D180" s="55">
        <f t="shared" ref="D180:M180" si="35">D179-C179</f>
        <v>2.054794520547945</v>
      </c>
      <c r="E180" s="55">
        <f t="shared" si="35"/>
        <v>1.422538560495854</v>
      </c>
      <c r="F180" s="55">
        <f t="shared" si="35"/>
        <v>2.4073649924633607</v>
      </c>
      <c r="G180" s="55">
        <f t="shared" si="35"/>
        <v>4.0739888308672718</v>
      </c>
      <c r="H180" s="55">
        <f t="shared" si="35"/>
        <v>6.8944198515771582</v>
      </c>
      <c r="I180" s="55">
        <f t="shared" si="35"/>
        <v>11.667441189253903</v>
      </c>
      <c r="J180" s="55">
        <f t="shared" si="35"/>
        <v>13.689863013698641</v>
      </c>
      <c r="K180" s="55">
        <f t="shared" si="35"/>
        <v>14.351539726027404</v>
      </c>
      <c r="L180" s="55">
        <f t="shared" si="35"/>
        <v>6.787434082191794</v>
      </c>
      <c r="M180" s="55">
        <f t="shared" si="35"/>
        <v>7.6019261720548101</v>
      </c>
    </row>
    <row r="181" spans="2:13" ht="15" customHeight="1" x14ac:dyDescent="0.35">
      <c r="B181" s="51" t="s">
        <v>732</v>
      </c>
      <c r="C181" s="55">
        <f t="shared" ref="C181:M181" si="36">C178-C180</f>
        <v>-15</v>
      </c>
      <c r="D181" s="55">
        <f t="shared" si="36"/>
        <v>-31.304794520547944</v>
      </c>
      <c r="E181" s="55">
        <f t="shared" si="36"/>
        <v>-33.614822483121443</v>
      </c>
      <c r="F181" s="55">
        <f t="shared" si="36"/>
        <v>-29.197293989821791</v>
      </c>
      <c r="G181" s="55">
        <f t="shared" si="36"/>
        <v>-29.07398883086729</v>
      </c>
      <c r="H181" s="55">
        <f t="shared" si="36"/>
        <v>-26.768266546641897</v>
      </c>
      <c r="I181" s="55">
        <f t="shared" si="36"/>
        <v>-25.342441189253943</v>
      </c>
      <c r="J181" s="55">
        <f t="shared" si="36"/>
        <v>21.232216986301381</v>
      </c>
      <c r="K181" s="55">
        <f t="shared" si="36"/>
        <v>55.153670673972648</v>
      </c>
      <c r="L181" s="55">
        <f t="shared" si="36"/>
        <v>96.493179549808289</v>
      </c>
      <c r="M181" s="55">
        <f t="shared" si="36"/>
        <v>136.55931243786532</v>
      </c>
    </row>
    <row r="182" spans="2:13" ht="15" customHeight="1" x14ac:dyDescent="0.35">
      <c r="B182" s="51" t="s">
        <v>733</v>
      </c>
      <c r="C182" s="55">
        <f t="shared" ref="C182:M182" si="37">MAX(-C181,0)</f>
        <v>15</v>
      </c>
      <c r="D182" s="55">
        <f t="shared" si="37"/>
        <v>31.304794520547944</v>
      </c>
      <c r="E182" s="55">
        <f t="shared" si="37"/>
        <v>33.614822483121443</v>
      </c>
      <c r="F182" s="55">
        <f t="shared" si="37"/>
        <v>29.197293989821791</v>
      </c>
      <c r="G182" s="55">
        <f t="shared" si="37"/>
        <v>29.07398883086729</v>
      </c>
      <c r="H182" s="55">
        <f t="shared" si="37"/>
        <v>26.768266546641897</v>
      </c>
      <c r="I182" s="55">
        <f t="shared" si="37"/>
        <v>25.342441189253943</v>
      </c>
      <c r="J182" s="55">
        <f t="shared" si="37"/>
        <v>0</v>
      </c>
      <c r="K182" s="55">
        <f t="shared" si="37"/>
        <v>0</v>
      </c>
      <c r="L182" s="55">
        <f t="shared" si="37"/>
        <v>0</v>
      </c>
      <c r="M182" s="55">
        <f t="shared" si="37"/>
        <v>0</v>
      </c>
    </row>
    <row r="183" spans="2:13" ht="15" customHeight="1" x14ac:dyDescent="0.35">
      <c r="B183" s="51" t="s">
        <v>734</v>
      </c>
      <c r="C183" s="55">
        <f>C181</f>
        <v>-15</v>
      </c>
      <c r="D183" s="55">
        <f t="shared" ref="D183:M183" si="38">C183+D181</f>
        <v>-46.304794520547944</v>
      </c>
      <c r="E183" s="55">
        <f t="shared" si="38"/>
        <v>-79.919617003669387</v>
      </c>
      <c r="F183" s="55">
        <f t="shared" si="38"/>
        <v>-109.11691099349117</v>
      </c>
      <c r="G183" s="55">
        <f t="shared" si="38"/>
        <v>-138.19089982435847</v>
      </c>
      <c r="H183" s="55">
        <f t="shared" si="38"/>
        <v>-164.95916637100038</v>
      </c>
      <c r="I183" s="55">
        <f t="shared" si="38"/>
        <v>-190.30160756025433</v>
      </c>
      <c r="J183" s="55">
        <f t="shared" si="38"/>
        <v>-169.06939057395294</v>
      </c>
      <c r="K183" s="55">
        <f t="shared" si="38"/>
        <v>-113.9157198999803</v>
      </c>
      <c r="L183" s="55">
        <f t="shared" si="38"/>
        <v>-17.422540350172014</v>
      </c>
      <c r="M183" s="55">
        <f t="shared" si="38"/>
        <v>119.1367720876933</v>
      </c>
    </row>
    <row r="184" spans="2:13" ht="15" customHeight="1" x14ac:dyDescent="0.35">
      <c r="B184" s="51" t="s">
        <v>735</v>
      </c>
      <c r="C184" s="56">
        <f>(1+Assumptions!$I$15)^(-C$167)</f>
        <v>1</v>
      </c>
      <c r="D184" s="56">
        <f>(1+Assumptions!$I$15)^(-D$167)</f>
        <v>0.89847259658580414</v>
      </c>
      <c r="E184" s="56">
        <f>(1+Assumptions!$I$15)^(-E$167)</f>
        <v>0.80725300681563716</v>
      </c>
      <c r="F184" s="56">
        <f>(1+Assumptions!$I$15)^(-F$167)</f>
        <v>0.72529470513534333</v>
      </c>
      <c r="G184" s="56">
        <f>(1+Assumptions!$I$15)^(-G$167)</f>
        <v>0.65165741701288704</v>
      </c>
      <c r="H184" s="56">
        <f>(1+Assumptions!$I$15)^(-H$167)</f>
        <v>0.58549633154796688</v>
      </c>
      <c r="I184" s="56">
        <f>(1+Assumptions!$I$15)^(-I$167)</f>
        <v>0.52605240929736463</v>
      </c>
      <c r="J184" s="56">
        <f>(1+Assumptions!$I$15)^(-J$167)</f>
        <v>0.47264367412162139</v>
      </c>
      <c r="K184" s="56">
        <f>(1+Assumptions!$I$15)^(-K$167)</f>
        <v>0.42465738914790779</v>
      </c>
      <c r="L184" s="56">
        <f>(1+Assumptions!$I$15)^(-L$167)</f>
        <v>0.381543027087069</v>
      </c>
      <c r="M184" s="56">
        <f>(1+Assumptions!$I$15)^(-M$167)</f>
        <v>0.34280595425612664</v>
      </c>
    </row>
    <row r="185" spans="2:13" ht="15" customHeight="1" x14ac:dyDescent="0.35">
      <c r="B185" s="51" t="s">
        <v>736</v>
      </c>
      <c r="C185" s="55">
        <f>Assumptions!$I$19*(1+Assumptions!$I$16)^C$167</f>
        <v>690</v>
      </c>
      <c r="D185" s="55">
        <f>Assumptions!$I$19*(1+Assumptions!$I$16)^D$167</f>
        <v>772.80000000000007</v>
      </c>
      <c r="E185" s="55">
        <f>Assumptions!$I$19*(1+Assumptions!$I$16)^E$167</f>
        <v>865.53600000000017</v>
      </c>
      <c r="F185" s="55">
        <f>Assumptions!$I$19*(1+Assumptions!$I$16)^F$167</f>
        <v>969.40032000000031</v>
      </c>
      <c r="G185" s="55">
        <f>Assumptions!$I$19*(1+Assumptions!$I$16)^G$167</f>
        <v>1085.7283584000002</v>
      </c>
      <c r="H185" s="55">
        <f>Assumptions!$I$19*(1+Assumptions!$I$16)^H$167</f>
        <v>1216.0157614080003</v>
      </c>
      <c r="I185" s="55">
        <f>Assumptions!$I$19*(1+Assumptions!$I$16)^I$167</f>
        <v>1361.9376527769605</v>
      </c>
      <c r="J185" s="55">
        <f>Assumptions!$I$19*(1+Assumptions!$I$16)^J$167</f>
        <v>1525.3701711101958</v>
      </c>
      <c r="K185" s="55">
        <f>Assumptions!$I$19*(1+Assumptions!$I$16)^K$167</f>
        <v>1708.4145916434195</v>
      </c>
      <c r="L185" s="55">
        <f>Assumptions!$I$19*(1+Assumptions!$I$16)^L$167</f>
        <v>1913.4243426406299</v>
      </c>
      <c r="M185" s="55">
        <f>Assumptions!$I$19*(1+Assumptions!$I$16)^M$167</f>
        <v>2143.0352637575056</v>
      </c>
    </row>
    <row r="186" spans="2:13" ht="15" customHeight="1" x14ac:dyDescent="0.35">
      <c r="B186" s="51" t="s">
        <v>737</v>
      </c>
      <c r="C186" s="55">
        <f>(Assumptions!$D$30+(Assumptions!$I$18-Assumptions!$D$30)*MIN(C$167/Assumptions!$D$33,1))*C185</f>
        <v>24.150000000000002</v>
      </c>
      <c r="D186" s="55">
        <f>(Assumptions!$D$30+(Assumptions!$I$18-Assumptions!$D$30)*MIN(D$167/Assumptions!$D$33,1))*D185</f>
        <v>52.55040000000001</v>
      </c>
      <c r="E186" s="55">
        <f>(Assumptions!$D$30+(Assumptions!$I$18-Assumptions!$D$30)*MIN(E$167/Assumptions!$D$33,1))*E185</f>
        <v>87.419136000000023</v>
      </c>
      <c r="F186" s="55">
        <f>(Assumptions!$D$30+(Assumptions!$I$18-Assumptions!$D$30)*MIN(F$167/Assumptions!$D$33,1))*F185</f>
        <v>129.89964288000004</v>
      </c>
      <c r="G186" s="55">
        <f>(Assumptions!$D$30+(Assumptions!$I$18-Assumptions!$D$30)*MIN(G$167/Assumptions!$D$33,1))*G185</f>
        <v>181.31663585280003</v>
      </c>
      <c r="H186" s="55">
        <f>(Assumptions!$D$30+(Assumptions!$I$18-Assumptions!$D$30)*MIN(H$167/Assumptions!$D$33,1))*H185</f>
        <v>243.20315228160007</v>
      </c>
      <c r="I186" s="55">
        <f>(Assumptions!$D$30+(Assumptions!$I$18-Assumptions!$D$30)*MIN(I$167/Assumptions!$D$33,1))*I185</f>
        <v>272.38753055539212</v>
      </c>
      <c r="J186" s="55">
        <f>(Assumptions!$D$30+(Assumptions!$I$18-Assumptions!$D$30)*MIN(J$167/Assumptions!$D$33,1))*J185</f>
        <v>305.07403422203919</v>
      </c>
      <c r="K186" s="55">
        <f>(Assumptions!$D$30+(Assumptions!$I$18-Assumptions!$D$30)*MIN(K$167/Assumptions!$D$33,1))*K185</f>
        <v>341.68291832868391</v>
      </c>
      <c r="L186" s="55">
        <f>(Assumptions!$D$30+(Assumptions!$I$18-Assumptions!$D$30)*MIN(L$167/Assumptions!$D$33,1))*L185</f>
        <v>382.684868528126</v>
      </c>
      <c r="M186" s="55">
        <f>(Assumptions!$D$30+(Assumptions!$I$18-Assumptions!$D$30)*MIN(M$167/Assumptions!$D$33,1))*M185</f>
        <v>428.60705275150116</v>
      </c>
    </row>
    <row r="187" spans="2:13" ht="15" customHeight="1" x14ac:dyDescent="0.35">
      <c r="B187" s="51" t="s">
        <v>738</v>
      </c>
      <c r="C187" s="53">
        <f>MAX(Assumptions!$D$30,INDEX(C176:M176,$C$163+1)/INDEX(C168:M168,$C$163+1))</f>
        <v>3.5000000000000003E-2</v>
      </c>
    </row>
    <row r="189" spans="2:13" ht="15" customHeight="1" x14ac:dyDescent="0.35">
      <c r="B189" s="51" t="s">
        <v>739</v>
      </c>
      <c r="C189" s="57">
        <f>SUMPRODUCT($C$182:$M$182,$C$184:$M$184,($C$167:$M$167&lt;=$C$163)*1)</f>
        <v>139.38926385045846</v>
      </c>
    </row>
    <row r="190" spans="2:13" ht="15" customHeight="1" x14ac:dyDescent="0.35">
      <c r="B190" s="51" t="s">
        <v>740</v>
      </c>
      <c r="C190" s="57">
        <f>-MIN($C$183:$M$183)</f>
        <v>190.30160756025433</v>
      </c>
    </row>
    <row r="191" spans="2:13" ht="15" customHeight="1" x14ac:dyDescent="0.35">
      <c r="B191" s="51" t="s">
        <v>741</v>
      </c>
      <c r="C191" s="58">
        <f>Assumptions!$I$17</f>
        <v>0.11</v>
      </c>
    </row>
    <row r="192" spans="2:13" ht="15" customHeight="1" x14ac:dyDescent="0.35">
      <c r="B192" s="59" t="s">
        <v>742</v>
      </c>
      <c r="C192" s="60">
        <f>$C$189/$C$191</f>
        <v>1267.1751259132589</v>
      </c>
    </row>
    <row r="193" spans="1:13" ht="15" customHeight="1" x14ac:dyDescent="0.35">
      <c r="B193" s="51" t="s">
        <v>743</v>
      </c>
      <c r="C193" s="57">
        <f>SUMPRODUCT($C$186:$M$186-$C$178:$M$178*($C$167:$M$167&gt;$C$163),$C$184:$M$184,($C$167:$M$167&gt;=1)*1)</f>
        <v>1063.2233296759255</v>
      </c>
    </row>
    <row r="194" spans="1:13" ht="15" customHeight="1" x14ac:dyDescent="0.35">
      <c r="B194" s="51" t="s">
        <v>744</v>
      </c>
      <c r="C194" s="57">
        <f>$M$185-$M$168</f>
        <v>1279.794313997505</v>
      </c>
    </row>
    <row r="195" spans="1:13" ht="15" customHeight="1" x14ac:dyDescent="0.35">
      <c r="B195" s="51" t="s">
        <v>745</v>
      </c>
      <c r="C195" s="57">
        <f>$C$194*Assumptions!$I$18/(Assumptions!$I$15-Assumptions!$I$25)*$M$184</f>
        <v>1392.7654319412054</v>
      </c>
    </row>
    <row r="196" spans="1:13" ht="15" customHeight="1" x14ac:dyDescent="0.35">
      <c r="B196" s="59" t="s">
        <v>746</v>
      </c>
      <c r="C196" s="60">
        <f>$C$193+$C$195</f>
        <v>2455.9887616171309</v>
      </c>
    </row>
    <row r="197" spans="1:13" ht="15" customHeight="1" x14ac:dyDescent="0.35">
      <c r="B197" s="59" t="s">
        <v>747</v>
      </c>
      <c r="C197" s="60">
        <f>$C$192+$C$196</f>
        <v>3723.1638875303897</v>
      </c>
    </row>
    <row r="198" spans="1:13" ht="15" customHeight="1" x14ac:dyDescent="0.35">
      <c r="B198" s="51" t="s">
        <v>748</v>
      </c>
      <c r="C198" s="57">
        <f>Assumptions!$I$21+Assumptions!$I$23+Assumptions!$I$20-Assumptions!$I$22</f>
        <v>527</v>
      </c>
    </row>
    <row r="199" spans="1:13" ht="15" customHeight="1" x14ac:dyDescent="0.35">
      <c r="B199" s="51" t="s">
        <v>749</v>
      </c>
      <c r="C199" s="57">
        <f>Assumptions!$D$29+$C$198</f>
        <v>3233.45</v>
      </c>
    </row>
    <row r="200" spans="1:13" ht="15" customHeight="1" x14ac:dyDescent="0.35">
      <c r="B200" s="59" t="s">
        <v>750</v>
      </c>
      <c r="C200" s="60">
        <f>$C$197-$C$198</f>
        <v>3196.1638875303897</v>
      </c>
    </row>
    <row r="201" spans="1:13" ht="15" customHeight="1" x14ac:dyDescent="0.35">
      <c r="B201" s="51" t="s">
        <v>751</v>
      </c>
      <c r="C201" s="57">
        <f>$C$200-Assumptions!$D$29</f>
        <v>489.71388753038991</v>
      </c>
    </row>
    <row r="202" spans="1:13" ht="15" customHeight="1" x14ac:dyDescent="0.35">
      <c r="B202" s="51" t="s">
        <v>752</v>
      </c>
      <c r="C202" s="57">
        <f>SUMPRODUCT($C$182:$M$182,$C$184:$M$184,($C$167:$M$167&lt;=$C$165)*1)</f>
        <v>91.438809276633165</v>
      </c>
    </row>
    <row r="203" spans="1:13" ht="15" customHeight="1" x14ac:dyDescent="0.35">
      <c r="B203" s="51" t="s">
        <v>753</v>
      </c>
      <c r="C203" s="57">
        <f>$C$189+(1/$C$191-1)*$C$202</f>
        <v>879.21235708867243</v>
      </c>
    </row>
    <row r="204" spans="1:13" ht="15" customHeight="1" x14ac:dyDescent="0.35">
      <c r="B204" s="51" t="s">
        <v>754</v>
      </c>
      <c r="C204" s="57">
        <f>$C$203+$C$196-$C$198</f>
        <v>2808.2011187058033</v>
      </c>
    </row>
    <row r="205" spans="1:13" ht="15" customHeight="1" x14ac:dyDescent="0.35">
      <c r="B205" s="51" t="s">
        <v>755</v>
      </c>
      <c r="C205" s="57">
        <f>SUMPRODUCT($C$186:$M$186,$C$184:$M$184,($C$167:$M$167&gt;=1)*1)+$M$186*(1+Assumptions!$I$25)/(Assumptions!$I$15-Assumptions!$I$25)*$M$184</f>
        <v>3646.8877553117895</v>
      </c>
    </row>
    <row r="207" spans="1:13" ht="15" customHeight="1" x14ac:dyDescent="0.35">
      <c r="A207" s="49" t="s">
        <v>792</v>
      </c>
      <c r="B207" s="50"/>
      <c r="C207" s="50"/>
      <c r="D207" s="50"/>
      <c r="E207" s="50"/>
      <c r="F207" s="50"/>
      <c r="G207" s="50"/>
      <c r="H207" s="50"/>
      <c r="I207" s="50"/>
      <c r="J207" s="50"/>
      <c r="K207" s="50"/>
      <c r="L207" s="50"/>
      <c r="M207" s="50"/>
    </row>
    <row r="208" spans="1:13" ht="15" customHeight="1" x14ac:dyDescent="0.35">
      <c r="B208" s="51" t="s">
        <v>715</v>
      </c>
      <c r="C208" s="52">
        <f>ROUND(Sensitivity!$F$17,0)</f>
        <v>7</v>
      </c>
    </row>
    <row r="209" spans="2:13" ht="15" customHeight="1" x14ac:dyDescent="0.35">
      <c r="B209" s="51" t="s">
        <v>716</v>
      </c>
      <c r="C209" s="53">
        <f>(Assumptions!$I$26/Assumptions!$I$3)^(1/($C$208-1))</f>
        <v>1.5502375219824367</v>
      </c>
    </row>
    <row r="210" spans="2:13" ht="15" customHeight="1" x14ac:dyDescent="0.35">
      <c r="B210" s="51" t="s">
        <v>717</v>
      </c>
      <c r="C210" s="52">
        <f>INT(Assumptions!$I$24)</f>
        <v>3</v>
      </c>
    </row>
    <row r="212" spans="2:13" ht="15" customHeight="1" x14ac:dyDescent="0.35">
      <c r="B212" s="54" t="s">
        <v>718</v>
      </c>
      <c r="C212" s="54">
        <v>0</v>
      </c>
      <c r="D212" s="54">
        <v>1</v>
      </c>
      <c r="E212" s="54">
        <v>2</v>
      </c>
      <c r="F212" s="54">
        <v>3</v>
      </c>
      <c r="G212" s="54">
        <v>4</v>
      </c>
      <c r="H212" s="54">
        <v>5</v>
      </c>
      <c r="I212" s="54">
        <v>6</v>
      </c>
      <c r="J212" s="54">
        <v>7</v>
      </c>
      <c r="K212" s="54">
        <v>8</v>
      </c>
      <c r="L212" s="54">
        <v>9</v>
      </c>
      <c r="M212" s="54">
        <v>10</v>
      </c>
    </row>
    <row r="213" spans="2:13" ht="15" customHeight="1" x14ac:dyDescent="0.35">
      <c r="B213" s="51" t="s">
        <v>719</v>
      </c>
      <c r="C213" s="55">
        <f>IF(C$212=0,0,IF(C$212&lt;=$C$208,Assumptions!$I$3*$C$209^(C$212-1),0))</f>
        <v>0</v>
      </c>
      <c r="D213" s="55">
        <f>IF(D$212=0,0,IF(D$212&lt;=$C$208,Assumptions!$I$3*$C$209^(D$212-1),C213*(1+IF(D$212-$C$208=1,Assumptions!$D$31,IF(D$212-$C$208=2,Assumptions!$D$32,Assumptions!$I$16)))))</f>
        <v>25</v>
      </c>
      <c r="E213" s="55">
        <f>IF(E$212=0,0,IF(E$212&lt;=$C$208,Assumptions!$I$3*$C$209^(E$212-1),D213*(1+IF(E$212-$C$208=1,Assumptions!$D$31,IF(E$212-$C$208=2,Assumptions!$D$32,Assumptions!$I$16)))))</f>
        <v>38.755938049560918</v>
      </c>
      <c r="F213" s="55">
        <f>IF(F$212=0,0,IF(F$212&lt;=$C$208,Assumptions!$I$3*$C$209^(F$212-1),E213*(1+IF(F$212-$C$208=1,Assumptions!$D$31,IF(F$212-$C$208=2,Assumptions!$D$32,Assumptions!$I$16)))))</f>
        <v>60.080909364056147</v>
      </c>
      <c r="G213" s="55">
        <f>IF(G$212=0,0,IF(G$212&lt;=$C$208,Assumptions!$I$3*$C$209^(G$212-1),F213*(1+IF(G$212-$C$208=1,Assumptions!$D$31,IF(G$212-$C$208=2,Assumptions!$D$32,Assumptions!$I$16)))))</f>
        <v>93.139680050985774</v>
      </c>
      <c r="H213" s="55">
        <f>IF(H$212=0,0,IF(H$212&lt;=$C$208,Assumptions!$I$3*$C$209^(H$212-1),G213*(1+IF(H$212-$C$208=1,Assumptions!$D$31,IF(H$212-$C$208=2,Assumptions!$D$32,Assumptions!$I$16)))))</f>
        <v>144.38862680047717</v>
      </c>
      <c r="I213" s="55">
        <f>IF(I$212=0,0,IF(I$212&lt;=$C$208,Assumptions!$I$3*$C$209^(I$212-1),H213*(1+IF(I$212-$C$208=1,Assumptions!$D$31,IF(I$212-$C$208=2,Assumptions!$D$32,Assumptions!$I$16)))))</f>
        <v>223.83666701361858</v>
      </c>
      <c r="J213" s="55">
        <f>IF(J$212=0,0,IF(J$212&lt;=$C$208,Assumptions!$I$3*$C$209^(J$212-1),I213*(1+IF(J$212-$C$208=1,Assumptions!$D$31,IF(J$212-$C$208=2,Assumptions!$D$32,Assumptions!$I$16)))))</f>
        <v>346.99999999999989</v>
      </c>
      <c r="K213" s="55">
        <f>IF(K$212=0,0,IF(K$212&lt;=$C$208,Assumptions!$I$3*$C$209^(K$212-1),J213*(1+IF(K$212-$C$208=1,Assumptions!$D$31,IF(K$212-$C$208=2,Assumptions!$D$32,Assumptions!$I$16)))))</f>
        <v>513.55999999999983</v>
      </c>
      <c r="L213" s="55">
        <f>IF(L$212=0,0,IF(L$212&lt;=$C$208,Assumptions!$I$3*$C$209^(L$212-1),K213*(1+IF(L$212-$C$208=1,Assumptions!$D$31,IF(L$212-$C$208=2,Assumptions!$D$32,Assumptions!$I$16)))))</f>
        <v>688.17039999999986</v>
      </c>
      <c r="M213" s="55">
        <f>IF(M$212=0,0,IF(M$212&lt;=$C$208,Assumptions!$I$3*$C$209^(M$212-1),L213*(1+IF(M$212-$C$208=1,Assumptions!$D$31,IF(M$212-$C$208=2,Assumptions!$D$32,Assumptions!$I$16)))))</f>
        <v>770.75084799999991</v>
      </c>
    </row>
    <row r="214" spans="2:13" ht="15" customHeight="1" x14ac:dyDescent="0.35">
      <c r="B214" s="51" t="s">
        <v>720</v>
      </c>
      <c r="C214" s="53">
        <f>IF(C$212=0,0,IF(C$212&lt;=$C$208,IF(C$212&lt;=2,Assumptions!$I$4,Assumptions!$I$4+(C$212-2)/MAX($C$208-2,1)*(Assumptions!$I$5-Assumptions!$I$4)),Assumptions!$I$5))</f>
        <v>0</v>
      </c>
      <c r="D214" s="53">
        <f>IF(D$212=0,0,IF(D$212&lt;=$C$208,IF(D$212&lt;=2,Assumptions!$I$4,Assumptions!$I$4+(D$212-2)/MAX($C$208-2,1)*(Assumptions!$I$5-Assumptions!$I$4)),Assumptions!$I$5))</f>
        <v>0.6</v>
      </c>
      <c r="E214" s="53">
        <f>IF(E$212=0,0,IF(E$212&lt;=$C$208,IF(E$212&lt;=2,Assumptions!$I$4,Assumptions!$I$4+(E$212-2)/MAX($C$208-2,1)*(Assumptions!$I$5-Assumptions!$I$4)),Assumptions!$I$5))</f>
        <v>0.6</v>
      </c>
      <c r="F214" s="53">
        <f>IF(F$212=0,0,IF(F$212&lt;=$C$208,IF(F$212&lt;=2,Assumptions!$I$4,Assumptions!$I$4+(F$212-2)/MAX($C$208-2,1)*(Assumptions!$I$5-Assumptions!$I$4)),Assumptions!$I$5))</f>
        <v>0.62</v>
      </c>
      <c r="G214" s="53">
        <f>IF(G$212=0,0,IF(G$212&lt;=$C$208,IF(G$212&lt;=2,Assumptions!$I$4,Assumptions!$I$4+(G$212-2)/MAX($C$208-2,1)*(Assumptions!$I$5-Assumptions!$I$4)),Assumptions!$I$5))</f>
        <v>0.64</v>
      </c>
      <c r="H214" s="53">
        <f>IF(H$212=0,0,IF(H$212&lt;=$C$208,IF(H$212&lt;=2,Assumptions!$I$4,Assumptions!$I$4+(H$212-2)/MAX($C$208-2,1)*(Assumptions!$I$5-Assumptions!$I$4)),Assumptions!$I$5))</f>
        <v>0.65999999999999992</v>
      </c>
      <c r="I214" s="53">
        <f>IF(I$212=0,0,IF(I$212&lt;=$C$208,IF(I$212&lt;=2,Assumptions!$I$4,Assumptions!$I$4+(I$212-2)/MAX($C$208-2,1)*(Assumptions!$I$5-Assumptions!$I$4)),Assumptions!$I$5))</f>
        <v>0.67999999999999994</v>
      </c>
      <c r="J214" s="53">
        <f>IF(J$212=0,0,IF(J$212&lt;=$C$208,IF(J$212&lt;=2,Assumptions!$I$4,Assumptions!$I$4+(J$212-2)/MAX($C$208-2,1)*(Assumptions!$I$5-Assumptions!$I$4)),Assumptions!$I$5))</f>
        <v>0.7</v>
      </c>
      <c r="K214" s="53">
        <f>IF(K$212=0,0,IF(K$212&lt;=$C$208,IF(K$212&lt;=2,Assumptions!$I$4,Assumptions!$I$4+(K$212-2)/MAX($C$208-2,1)*(Assumptions!$I$5-Assumptions!$I$4)),Assumptions!$I$5))</f>
        <v>0.7</v>
      </c>
      <c r="L214" s="53">
        <f>IF(L$212=0,0,IF(L$212&lt;=$C$208,IF(L$212&lt;=2,Assumptions!$I$4,Assumptions!$I$4+(L$212-2)/MAX($C$208-2,1)*(Assumptions!$I$5-Assumptions!$I$4)),Assumptions!$I$5))</f>
        <v>0.7</v>
      </c>
      <c r="M214" s="53">
        <f>IF(M$212=0,0,IF(M$212&lt;=$C$208,IF(M$212&lt;=2,Assumptions!$I$4,Assumptions!$I$4+(M$212-2)/MAX($C$208-2,1)*(Assumptions!$I$5-Assumptions!$I$4)),Assumptions!$I$5))</f>
        <v>0.7</v>
      </c>
    </row>
    <row r="215" spans="2:13" ht="15" customHeight="1" x14ac:dyDescent="0.35">
      <c r="B215" s="51" t="s">
        <v>721</v>
      </c>
      <c r="C215" s="53">
        <f>IF(C$212=0,0,IF(C$212&lt;=$C$208,IF(C$212&lt;=2,Assumptions!$I$6,Assumptions!$I$7),Assumptions!$I$8))</f>
        <v>0</v>
      </c>
      <c r="D215" s="53">
        <f>IF(D$212=0,0,IF(D$212&lt;=$C$208,IF(D$212&lt;=2,Assumptions!$I$6,Assumptions!$I$7),Assumptions!$I$8))</f>
        <v>0.5</v>
      </c>
      <c r="E215" s="53">
        <f>IF(E$212=0,0,IF(E$212&lt;=$C$208,IF(E$212&lt;=2,Assumptions!$I$6,Assumptions!$I$7),Assumptions!$I$8))</f>
        <v>0.5</v>
      </c>
      <c r="F215" s="53">
        <f>IF(F$212=0,0,IF(F$212&lt;=$C$208,IF(F$212&lt;=2,Assumptions!$I$6,Assumptions!$I$7),Assumptions!$I$8))</f>
        <v>0.38</v>
      </c>
      <c r="G215" s="53">
        <f>IF(G$212=0,0,IF(G$212&lt;=$C$208,IF(G$212&lt;=2,Assumptions!$I$6,Assumptions!$I$7),Assumptions!$I$8))</f>
        <v>0.38</v>
      </c>
      <c r="H215" s="53">
        <f>IF(H$212=0,0,IF(H$212&lt;=$C$208,IF(H$212&lt;=2,Assumptions!$I$6,Assumptions!$I$7),Assumptions!$I$8))</f>
        <v>0.38</v>
      </c>
      <c r="I215" s="53">
        <f>IF(I$212=0,0,IF(I$212&lt;=$C$208,IF(I$212&lt;=2,Assumptions!$I$6,Assumptions!$I$7),Assumptions!$I$8))</f>
        <v>0.38</v>
      </c>
      <c r="J215" s="53">
        <f>IF(J$212=0,0,IF(J$212&lt;=$C$208,IF(J$212&lt;=2,Assumptions!$I$6,Assumptions!$I$7),Assumptions!$I$8))</f>
        <v>0.38</v>
      </c>
      <c r="K215" s="53">
        <f>IF(K$212=0,0,IF(K$212&lt;=$C$208,IF(K$212&lt;=2,Assumptions!$I$6,Assumptions!$I$7),Assumptions!$I$8))</f>
        <v>0.3</v>
      </c>
      <c r="L215" s="53">
        <f>IF(L$212=0,0,IF(L$212&lt;=$C$208,IF(L$212&lt;=2,Assumptions!$I$6,Assumptions!$I$7),Assumptions!$I$8))</f>
        <v>0.3</v>
      </c>
      <c r="M215" s="53">
        <f>IF(M$212=0,0,IF(M$212&lt;=$C$208,IF(M$212&lt;=2,Assumptions!$I$6,Assumptions!$I$7),Assumptions!$I$8))</f>
        <v>0.3</v>
      </c>
    </row>
    <row r="216" spans="2:13" ht="15" customHeight="1" x14ac:dyDescent="0.35">
      <c r="B216" s="51" t="s">
        <v>722</v>
      </c>
      <c r="C216" s="55">
        <f t="shared" ref="C216:M216" si="39">C214*C213</f>
        <v>0</v>
      </c>
      <c r="D216" s="55">
        <f t="shared" si="39"/>
        <v>15</v>
      </c>
      <c r="E216" s="55">
        <f t="shared" si="39"/>
        <v>23.253562829736548</v>
      </c>
      <c r="F216" s="55">
        <f t="shared" si="39"/>
        <v>37.250163805714813</v>
      </c>
      <c r="G216" s="55">
        <f t="shared" si="39"/>
        <v>59.609395232630895</v>
      </c>
      <c r="H216" s="55">
        <f t="shared" si="39"/>
        <v>95.296493688314925</v>
      </c>
      <c r="I216" s="55">
        <f t="shared" si="39"/>
        <v>152.20893356926061</v>
      </c>
      <c r="J216" s="55">
        <f t="shared" si="39"/>
        <v>242.89999999999989</v>
      </c>
      <c r="K216" s="55">
        <f t="shared" si="39"/>
        <v>359.49199999999985</v>
      </c>
      <c r="L216" s="55">
        <f t="shared" si="39"/>
        <v>481.71927999999986</v>
      </c>
      <c r="M216" s="55">
        <f t="shared" si="39"/>
        <v>539.52559359999987</v>
      </c>
    </row>
    <row r="217" spans="2:13" ht="15" customHeight="1" x14ac:dyDescent="0.35">
      <c r="B217" s="51" t="s">
        <v>723</v>
      </c>
      <c r="C217" s="55">
        <f t="shared" ref="C217:M217" si="40">C215*C213</f>
        <v>0</v>
      </c>
      <c r="D217" s="55">
        <f t="shared" si="40"/>
        <v>12.5</v>
      </c>
      <c r="E217" s="55">
        <f t="shared" si="40"/>
        <v>19.377969024780459</v>
      </c>
      <c r="F217" s="55">
        <f t="shared" si="40"/>
        <v>22.830745558341338</v>
      </c>
      <c r="G217" s="55">
        <f t="shared" si="40"/>
        <v>35.393078419374596</v>
      </c>
      <c r="H217" s="55">
        <f t="shared" si="40"/>
        <v>54.867678184181322</v>
      </c>
      <c r="I217" s="55">
        <f t="shared" si="40"/>
        <v>85.057933465175068</v>
      </c>
      <c r="J217" s="55">
        <f t="shared" si="40"/>
        <v>131.85999999999996</v>
      </c>
      <c r="K217" s="55">
        <f t="shared" si="40"/>
        <v>154.06799999999996</v>
      </c>
      <c r="L217" s="55">
        <f t="shared" si="40"/>
        <v>206.45111999999995</v>
      </c>
      <c r="M217" s="55">
        <f t="shared" si="40"/>
        <v>231.22525439999995</v>
      </c>
    </row>
    <row r="218" spans="2:13" ht="15" customHeight="1" x14ac:dyDescent="0.35">
      <c r="B218" s="51" t="s">
        <v>724</v>
      </c>
      <c r="C218" s="55">
        <f>Assumptions!$I$12+Assumptions!$I$13*C213</f>
        <v>5</v>
      </c>
      <c r="D218" s="55">
        <f>Assumptions!$I$12+Assumptions!$I$13*D213</f>
        <v>5.5</v>
      </c>
      <c r="E218" s="55">
        <f>Assumptions!$I$12+Assumptions!$I$13*E213</f>
        <v>5.7751187609912185</v>
      </c>
      <c r="F218" s="55">
        <f>Assumptions!$I$12+Assumptions!$I$13*F213</f>
        <v>6.2016181872811229</v>
      </c>
      <c r="G218" s="55">
        <f>Assumptions!$I$12+Assumptions!$I$13*G213</f>
        <v>6.8627936010197157</v>
      </c>
      <c r="H218" s="55">
        <f>Assumptions!$I$12+Assumptions!$I$13*H213</f>
        <v>7.8877725360095434</v>
      </c>
      <c r="I218" s="55">
        <f>Assumptions!$I$12+Assumptions!$I$13*I213</f>
        <v>9.4767333402723715</v>
      </c>
      <c r="J218" s="55">
        <f>Assumptions!$I$12+Assumptions!$I$13*J213</f>
        <v>11.939999999999998</v>
      </c>
      <c r="K218" s="55">
        <f>Assumptions!$I$12+Assumptions!$I$13*K213</f>
        <v>15.271199999999997</v>
      </c>
      <c r="L218" s="55">
        <f>Assumptions!$I$12+Assumptions!$I$13*L213</f>
        <v>18.763407999999998</v>
      </c>
      <c r="M218" s="55">
        <f>Assumptions!$I$12+Assumptions!$I$13*M213</f>
        <v>20.415016959999999</v>
      </c>
    </row>
    <row r="219" spans="2:13" ht="15" customHeight="1" x14ac:dyDescent="0.35">
      <c r="B219" s="51" t="s">
        <v>725</v>
      </c>
      <c r="C219" s="55">
        <f>IF(C$212=0,0.5*Assumptions!$I$10,MAX(Assumptions!$I$10,Assumptions!$I$11*C213))</f>
        <v>10</v>
      </c>
      <c r="D219" s="55">
        <f>IF(D$212=0,0.5*Assumptions!$I$10,MAX(Assumptions!$I$10,Assumptions!$I$11*D213))</f>
        <v>20</v>
      </c>
      <c r="E219" s="55">
        <f>IF(E$212=0,0.5*Assumptions!$I$10,MAX(Assumptions!$I$10,Assumptions!$I$11*E213))</f>
        <v>20</v>
      </c>
      <c r="F219" s="55">
        <f>IF(F$212=0,0.5*Assumptions!$I$10,MAX(Assumptions!$I$10,Assumptions!$I$11*F213))</f>
        <v>20</v>
      </c>
      <c r="G219" s="55">
        <f>IF(G$212=0,0.5*Assumptions!$I$10,MAX(Assumptions!$I$10,Assumptions!$I$11*G213))</f>
        <v>20</v>
      </c>
      <c r="H219" s="55">
        <f>IF(H$212=0,0.5*Assumptions!$I$10,MAX(Assumptions!$I$10,Assumptions!$I$11*H213))</f>
        <v>20</v>
      </c>
      <c r="I219" s="55">
        <f>IF(I$212=0,0.5*Assumptions!$I$10,MAX(Assumptions!$I$10,Assumptions!$I$11*I213))</f>
        <v>20</v>
      </c>
      <c r="J219" s="55">
        <f>IF(J$212=0,0.5*Assumptions!$I$10,MAX(Assumptions!$I$10,Assumptions!$I$11*J213))</f>
        <v>26.024999999999991</v>
      </c>
      <c r="K219" s="55">
        <f>IF(K$212=0,0.5*Assumptions!$I$10,MAX(Assumptions!$I$10,Assumptions!$I$11*K213))</f>
        <v>38.516999999999989</v>
      </c>
      <c r="L219" s="55">
        <f>IF(L$212=0,0.5*Assumptions!$I$10,MAX(Assumptions!$I$10,Assumptions!$I$11*L213))</f>
        <v>51.612779999999987</v>
      </c>
      <c r="M219" s="55">
        <f>IF(M$212=0,0.5*Assumptions!$I$10,MAX(Assumptions!$I$10,Assumptions!$I$11*M213))</f>
        <v>57.806313599999989</v>
      </c>
    </row>
    <row r="220" spans="2:13" ht="15" customHeight="1" x14ac:dyDescent="0.35">
      <c r="B220" s="51" t="s">
        <v>726</v>
      </c>
      <c r="C220" s="55">
        <f>IF(C$212=0,0,Assumptions!$I$9*C213)</f>
        <v>0</v>
      </c>
      <c r="D220" s="55">
        <f>IF(D$212=0,0,Assumptions!$I$9*D213)</f>
        <v>6.25</v>
      </c>
      <c r="E220" s="55">
        <f>IF(E$212=0,0,Assumptions!$I$9*E213)</f>
        <v>9.6889845123902294</v>
      </c>
      <c r="F220" s="55">
        <f>IF(F$212=0,0,Assumptions!$I$9*F213)</f>
        <v>15.020227341014037</v>
      </c>
      <c r="G220" s="55">
        <f>IF(G$212=0,0,Assumptions!$I$9*G213)</f>
        <v>23.284920012746444</v>
      </c>
      <c r="H220" s="55">
        <f>IF(H$212=0,0,Assumptions!$I$9*H213)</f>
        <v>36.097156700119292</v>
      </c>
      <c r="I220" s="55">
        <f>IF(I$212=0,0,Assumptions!$I$9*I213)</f>
        <v>55.959166753404645</v>
      </c>
      <c r="J220" s="55">
        <f>IF(J$212=0,0,Assumptions!$I$9*J213)</f>
        <v>86.749999999999972</v>
      </c>
      <c r="K220" s="55">
        <f>IF(K$212=0,0,Assumptions!$I$9*K213)</f>
        <v>128.38999999999996</v>
      </c>
      <c r="L220" s="55">
        <f>IF(L$212=0,0,Assumptions!$I$9*L213)</f>
        <v>172.04259999999996</v>
      </c>
      <c r="M220" s="55">
        <f>IF(M$212=0,0,Assumptions!$I$9*M213)</f>
        <v>192.68771199999998</v>
      </c>
    </row>
    <row r="221" spans="2:13" ht="15" customHeight="1" x14ac:dyDescent="0.35">
      <c r="B221" s="51" t="s">
        <v>727</v>
      </c>
      <c r="C221" s="55">
        <f t="shared" ref="C221:M221" si="41">C216-C217-C220-C219-C218</f>
        <v>-15</v>
      </c>
      <c r="D221" s="55">
        <f t="shared" si="41"/>
        <v>-29.25</v>
      </c>
      <c r="E221" s="55">
        <f t="shared" si="41"/>
        <v>-31.588509468425357</v>
      </c>
      <c r="F221" s="55">
        <f t="shared" si="41"/>
        <v>-26.802427280921687</v>
      </c>
      <c r="G221" s="55">
        <f t="shared" si="41"/>
        <v>-25.931396800509859</v>
      </c>
      <c r="H221" s="55">
        <f t="shared" si="41"/>
        <v>-23.556113731995232</v>
      </c>
      <c r="I221" s="55">
        <f t="shared" si="41"/>
        <v>-18.284899989591477</v>
      </c>
      <c r="J221" s="55">
        <f t="shared" si="41"/>
        <v>-13.675000000000026</v>
      </c>
      <c r="K221" s="55">
        <f t="shared" si="41"/>
        <v>23.245799999999949</v>
      </c>
      <c r="L221" s="55">
        <f t="shared" si="41"/>
        <v>32.84937199999996</v>
      </c>
      <c r="M221" s="55">
        <f t="shared" si="41"/>
        <v>37.391296639999979</v>
      </c>
    </row>
    <row r="222" spans="2:13" ht="15" customHeight="1" x14ac:dyDescent="0.35">
      <c r="B222" s="51" t="s">
        <v>728</v>
      </c>
      <c r="C222" s="55">
        <f t="shared" ref="C222:M222" si="42">IF(C$212&lt;=$C$208,C220,C216-C217-C219-C218-C223)</f>
        <v>0</v>
      </c>
      <c r="D222" s="55">
        <f t="shared" si="42"/>
        <v>6.25</v>
      </c>
      <c r="E222" s="55">
        <f t="shared" si="42"/>
        <v>9.6889845123902294</v>
      </c>
      <c r="F222" s="55">
        <f t="shared" si="42"/>
        <v>15.020227341014037</v>
      </c>
      <c r="G222" s="55">
        <f t="shared" si="42"/>
        <v>23.284920012746444</v>
      </c>
      <c r="H222" s="55">
        <f t="shared" si="42"/>
        <v>36.097156700119292</v>
      </c>
      <c r="I222" s="55">
        <f t="shared" si="42"/>
        <v>55.959166753404645</v>
      </c>
      <c r="J222" s="55">
        <f t="shared" si="42"/>
        <v>86.749999999999972</v>
      </c>
      <c r="K222" s="55">
        <f t="shared" si="42"/>
        <v>116.71371999999991</v>
      </c>
      <c r="L222" s="55">
        <f t="shared" si="42"/>
        <v>135.38676159999994</v>
      </c>
      <c r="M222" s="55">
        <f t="shared" si="42"/>
        <v>126.79839500799996</v>
      </c>
    </row>
    <row r="223" spans="2:13" ht="15" customHeight="1" x14ac:dyDescent="0.35">
      <c r="B223" s="51" t="s">
        <v>729</v>
      </c>
      <c r="C223" s="55">
        <f>IF(C$212&lt;=$C$208,C221,($C$232+(Assumptions!$I$18-$C$232)*MIN(MAX(C$212-$C$208,0)/Assumptions!$D$33,1))*C213)</f>
        <v>-15</v>
      </c>
      <c r="D223" s="55">
        <f>IF(D$212&lt;=$C$208,D221,($C$232+(Assumptions!$I$18-$C$232)*MIN(MAX(D$212-$C$208,0)/Assumptions!$D$33,1))*D213)</f>
        <v>-29.25</v>
      </c>
      <c r="E223" s="55">
        <f>IF(E$212&lt;=$C$208,E221,($C$232+(Assumptions!$I$18-$C$232)*MIN(MAX(E$212-$C$208,0)/Assumptions!$D$33,1))*E213)</f>
        <v>-31.588509468425357</v>
      </c>
      <c r="F223" s="55">
        <f>IF(F$212&lt;=$C$208,F221,($C$232+(Assumptions!$I$18-$C$232)*MIN(MAX(F$212-$C$208,0)/Assumptions!$D$33,1))*F213)</f>
        <v>-26.802427280921687</v>
      </c>
      <c r="G223" s="55">
        <f>IF(G$212&lt;=$C$208,G221,($C$232+(Assumptions!$I$18-$C$232)*MIN(MAX(G$212-$C$208,0)/Assumptions!$D$33,1))*G213)</f>
        <v>-25.931396800509859</v>
      </c>
      <c r="H223" s="55">
        <f>IF(H$212&lt;=$C$208,H221,($C$232+(Assumptions!$I$18-$C$232)*MIN(MAX(H$212-$C$208,0)/Assumptions!$D$33,1))*H213)</f>
        <v>-23.556113731995232</v>
      </c>
      <c r="I223" s="55">
        <f>IF(I$212&lt;=$C$208,I221,($C$232+(Assumptions!$I$18-$C$232)*MIN(MAX(I$212-$C$208,0)/Assumptions!$D$33,1))*I213)</f>
        <v>-18.284899989591477</v>
      </c>
      <c r="J223" s="55">
        <f>IF(J$212&lt;=$C$208,J221,($C$232+(Assumptions!$I$18-$C$232)*MIN(MAX(J$212-$C$208,0)/Assumptions!$D$33,1))*J213)</f>
        <v>-13.675000000000026</v>
      </c>
      <c r="K223" s="55">
        <f>IF(K$212&lt;=$C$208,K221,($C$232+(Assumptions!$I$18-$C$232)*MIN(MAX(K$212-$C$208,0)/Assumptions!$D$33,1))*K213)</f>
        <v>34.922079999999994</v>
      </c>
      <c r="L223" s="55">
        <f>IF(L$212&lt;=$C$208,L221,($C$232+(Assumptions!$I$18-$C$232)*MIN(MAX(L$212-$C$208,0)/Assumptions!$D$33,1))*L213)</f>
        <v>69.505210399999996</v>
      </c>
      <c r="M223" s="55">
        <f>IF(M$212&lt;=$C$208,M221,($C$232+(Assumptions!$I$18-$C$232)*MIN(MAX(M$212-$C$208,0)/Assumptions!$D$33,1))*M213)</f>
        <v>103.280613632</v>
      </c>
    </row>
    <row r="224" spans="2:13" ht="15" customHeight="1" x14ac:dyDescent="0.35">
      <c r="B224" s="51" t="s">
        <v>730</v>
      </c>
      <c r="C224" s="55">
        <f>Assumptions!$I$14/365*C213</f>
        <v>0</v>
      </c>
      <c r="D224" s="55">
        <f>Assumptions!$I$14/365*D213</f>
        <v>2.054794520547945</v>
      </c>
      <c r="E224" s="55">
        <f>Assumptions!$I$14/365*E213</f>
        <v>3.1854195657173356</v>
      </c>
      <c r="F224" s="55">
        <f>Assumptions!$I$14/365*F213</f>
        <v>4.9381569340320119</v>
      </c>
      <c r="G224" s="55">
        <f>Assumptions!$I$14/365*G213</f>
        <v>7.6553161685741724</v>
      </c>
      <c r="H224" s="55">
        <f>Assumptions!$I$14/365*H213</f>
        <v>11.867558367162506</v>
      </c>
      <c r="I224" s="55">
        <f>Assumptions!$I$14/365*I213</f>
        <v>18.397534275091939</v>
      </c>
      <c r="J224" s="55">
        <f>Assumptions!$I$14/365*J213</f>
        <v>28.520547945205468</v>
      </c>
      <c r="K224" s="55">
        <f>Assumptions!$I$14/365*K213</f>
        <v>42.210410958904092</v>
      </c>
      <c r="L224" s="55">
        <f>Assumptions!$I$14/365*L213</f>
        <v>56.561950684931489</v>
      </c>
      <c r="M224" s="55">
        <f>Assumptions!$I$14/365*M213</f>
        <v>63.349384767123276</v>
      </c>
    </row>
    <row r="225" spans="2:13" ht="15" customHeight="1" x14ac:dyDescent="0.35">
      <c r="B225" s="51" t="s">
        <v>731</v>
      </c>
      <c r="C225" s="55">
        <f>C224</f>
        <v>0</v>
      </c>
      <c r="D225" s="55">
        <f t="shared" ref="D225:M225" si="43">D224-C224</f>
        <v>2.054794520547945</v>
      </c>
      <c r="E225" s="55">
        <f t="shared" si="43"/>
        <v>1.1306250451693907</v>
      </c>
      <c r="F225" s="55">
        <f t="shared" si="43"/>
        <v>1.7527373683146763</v>
      </c>
      <c r="G225" s="55">
        <f t="shared" si="43"/>
        <v>2.7171592345421605</v>
      </c>
      <c r="H225" s="55">
        <f t="shared" si="43"/>
        <v>4.2122421985883332</v>
      </c>
      <c r="I225" s="55">
        <f t="shared" si="43"/>
        <v>6.5299759079294333</v>
      </c>
      <c r="J225" s="55">
        <f t="shared" si="43"/>
        <v>10.123013670113529</v>
      </c>
      <c r="K225" s="55">
        <f t="shared" si="43"/>
        <v>13.689863013698623</v>
      </c>
      <c r="L225" s="55">
        <f t="shared" si="43"/>
        <v>14.351539726027397</v>
      </c>
      <c r="M225" s="55">
        <f t="shared" si="43"/>
        <v>6.7874340821917869</v>
      </c>
    </row>
    <row r="226" spans="2:13" ht="15" customHeight="1" x14ac:dyDescent="0.35">
      <c r="B226" s="51" t="s">
        <v>732</v>
      </c>
      <c r="C226" s="55">
        <f t="shared" ref="C226:M226" si="44">C223-C225</f>
        <v>-15</v>
      </c>
      <c r="D226" s="55">
        <f t="shared" si="44"/>
        <v>-31.304794520547944</v>
      </c>
      <c r="E226" s="55">
        <f t="shared" si="44"/>
        <v>-32.719134513594746</v>
      </c>
      <c r="F226" s="55">
        <f t="shared" si="44"/>
        <v>-28.555164649236364</v>
      </c>
      <c r="G226" s="55">
        <f t="shared" si="44"/>
        <v>-28.648556035052017</v>
      </c>
      <c r="H226" s="55">
        <f t="shared" si="44"/>
        <v>-27.768355930583567</v>
      </c>
      <c r="I226" s="55">
        <f t="shared" si="44"/>
        <v>-24.81487589752091</v>
      </c>
      <c r="J226" s="55">
        <f t="shared" si="44"/>
        <v>-23.798013670113555</v>
      </c>
      <c r="K226" s="55">
        <f t="shared" si="44"/>
        <v>21.232216986301371</v>
      </c>
      <c r="L226" s="55">
        <f t="shared" si="44"/>
        <v>55.153670673972599</v>
      </c>
      <c r="M226" s="55">
        <f t="shared" si="44"/>
        <v>96.493179549808218</v>
      </c>
    </row>
    <row r="227" spans="2:13" ht="15" customHeight="1" x14ac:dyDescent="0.35">
      <c r="B227" s="51" t="s">
        <v>733</v>
      </c>
      <c r="C227" s="55">
        <f t="shared" ref="C227:M227" si="45">MAX(-C226,0)</f>
        <v>15</v>
      </c>
      <c r="D227" s="55">
        <f t="shared" si="45"/>
        <v>31.304794520547944</v>
      </c>
      <c r="E227" s="55">
        <f t="shared" si="45"/>
        <v>32.719134513594746</v>
      </c>
      <c r="F227" s="55">
        <f t="shared" si="45"/>
        <v>28.555164649236364</v>
      </c>
      <c r="G227" s="55">
        <f t="shared" si="45"/>
        <v>28.648556035052017</v>
      </c>
      <c r="H227" s="55">
        <f t="shared" si="45"/>
        <v>27.768355930583567</v>
      </c>
      <c r="I227" s="55">
        <f t="shared" si="45"/>
        <v>24.81487589752091</v>
      </c>
      <c r="J227" s="55">
        <f t="shared" si="45"/>
        <v>23.798013670113555</v>
      </c>
      <c r="K227" s="55">
        <f t="shared" si="45"/>
        <v>0</v>
      </c>
      <c r="L227" s="55">
        <f t="shared" si="45"/>
        <v>0</v>
      </c>
      <c r="M227" s="55">
        <f t="shared" si="45"/>
        <v>0</v>
      </c>
    </row>
    <row r="228" spans="2:13" ht="15" customHeight="1" x14ac:dyDescent="0.35">
      <c r="B228" s="51" t="s">
        <v>734</v>
      </c>
      <c r="C228" s="55">
        <f>C226</f>
        <v>-15</v>
      </c>
      <c r="D228" s="55">
        <f t="shared" ref="D228:M228" si="46">C228+D226</f>
        <v>-46.304794520547944</v>
      </c>
      <c r="E228" s="55">
        <f t="shared" si="46"/>
        <v>-79.023929034142697</v>
      </c>
      <c r="F228" s="55">
        <f t="shared" si="46"/>
        <v>-107.57909368337906</v>
      </c>
      <c r="G228" s="55">
        <f t="shared" si="46"/>
        <v>-136.22764971843108</v>
      </c>
      <c r="H228" s="55">
        <f t="shared" si="46"/>
        <v>-163.99600564901465</v>
      </c>
      <c r="I228" s="55">
        <f t="shared" si="46"/>
        <v>-188.81088154653557</v>
      </c>
      <c r="J228" s="55">
        <f t="shared" si="46"/>
        <v>-212.60889521664913</v>
      </c>
      <c r="K228" s="55">
        <f t="shared" si="46"/>
        <v>-191.37667823034775</v>
      </c>
      <c r="L228" s="55">
        <f t="shared" si="46"/>
        <v>-136.22300755637514</v>
      </c>
      <c r="M228" s="55">
        <f t="shared" si="46"/>
        <v>-39.729828006566919</v>
      </c>
    </row>
    <row r="229" spans="2:13" ht="15" customHeight="1" x14ac:dyDescent="0.35">
      <c r="B229" s="51" t="s">
        <v>735</v>
      </c>
      <c r="C229" s="56">
        <f>(1+Assumptions!$I$15)^(-C$212)</f>
        <v>1</v>
      </c>
      <c r="D229" s="56">
        <f>(1+Assumptions!$I$15)^(-D$212)</f>
        <v>0.89847259658580414</v>
      </c>
      <c r="E229" s="56">
        <f>(1+Assumptions!$I$15)^(-E$212)</f>
        <v>0.80725300681563716</v>
      </c>
      <c r="F229" s="56">
        <f>(1+Assumptions!$I$15)^(-F$212)</f>
        <v>0.72529470513534333</v>
      </c>
      <c r="G229" s="56">
        <f>(1+Assumptions!$I$15)^(-G$212)</f>
        <v>0.65165741701288704</v>
      </c>
      <c r="H229" s="56">
        <f>(1+Assumptions!$I$15)^(-H$212)</f>
        <v>0.58549633154796688</v>
      </c>
      <c r="I229" s="56">
        <f>(1+Assumptions!$I$15)^(-I$212)</f>
        <v>0.52605240929736463</v>
      </c>
      <c r="J229" s="56">
        <f>(1+Assumptions!$I$15)^(-J$212)</f>
        <v>0.47264367412162139</v>
      </c>
      <c r="K229" s="56">
        <f>(1+Assumptions!$I$15)^(-K$212)</f>
        <v>0.42465738914790779</v>
      </c>
      <c r="L229" s="56">
        <f>(1+Assumptions!$I$15)^(-L$212)</f>
        <v>0.381543027087069</v>
      </c>
      <c r="M229" s="56">
        <f>(1+Assumptions!$I$15)^(-M$212)</f>
        <v>0.34280595425612664</v>
      </c>
    </row>
    <row r="230" spans="2:13" ht="15" customHeight="1" x14ac:dyDescent="0.35">
      <c r="B230" s="51" t="s">
        <v>736</v>
      </c>
      <c r="C230" s="55">
        <f>Assumptions!$I$19*(1+Assumptions!$I$16)^C$212</f>
        <v>690</v>
      </c>
      <c r="D230" s="55">
        <f>Assumptions!$I$19*(1+Assumptions!$I$16)^D$212</f>
        <v>772.80000000000007</v>
      </c>
      <c r="E230" s="55">
        <f>Assumptions!$I$19*(1+Assumptions!$I$16)^E$212</f>
        <v>865.53600000000017</v>
      </c>
      <c r="F230" s="55">
        <f>Assumptions!$I$19*(1+Assumptions!$I$16)^F$212</f>
        <v>969.40032000000031</v>
      </c>
      <c r="G230" s="55">
        <f>Assumptions!$I$19*(1+Assumptions!$I$16)^G$212</f>
        <v>1085.7283584000002</v>
      </c>
      <c r="H230" s="55">
        <f>Assumptions!$I$19*(1+Assumptions!$I$16)^H$212</f>
        <v>1216.0157614080003</v>
      </c>
      <c r="I230" s="55">
        <f>Assumptions!$I$19*(1+Assumptions!$I$16)^I$212</f>
        <v>1361.9376527769605</v>
      </c>
      <c r="J230" s="55">
        <f>Assumptions!$I$19*(1+Assumptions!$I$16)^J$212</f>
        <v>1525.3701711101958</v>
      </c>
      <c r="K230" s="55">
        <f>Assumptions!$I$19*(1+Assumptions!$I$16)^K$212</f>
        <v>1708.4145916434195</v>
      </c>
      <c r="L230" s="55">
        <f>Assumptions!$I$19*(1+Assumptions!$I$16)^L$212</f>
        <v>1913.4243426406299</v>
      </c>
      <c r="M230" s="55">
        <f>Assumptions!$I$19*(1+Assumptions!$I$16)^M$212</f>
        <v>2143.0352637575056</v>
      </c>
    </row>
    <row r="231" spans="2:13" ht="15" customHeight="1" x14ac:dyDescent="0.35">
      <c r="B231" s="51" t="s">
        <v>737</v>
      </c>
      <c r="C231" s="55">
        <f>(Assumptions!$D$30+(Assumptions!$I$18-Assumptions!$D$30)*MIN(C$212/Assumptions!$D$33,1))*C230</f>
        <v>24.150000000000002</v>
      </c>
      <c r="D231" s="55">
        <f>(Assumptions!$D$30+(Assumptions!$I$18-Assumptions!$D$30)*MIN(D$212/Assumptions!$D$33,1))*D230</f>
        <v>52.55040000000001</v>
      </c>
      <c r="E231" s="55">
        <f>(Assumptions!$D$30+(Assumptions!$I$18-Assumptions!$D$30)*MIN(E$212/Assumptions!$D$33,1))*E230</f>
        <v>87.419136000000023</v>
      </c>
      <c r="F231" s="55">
        <f>(Assumptions!$D$30+(Assumptions!$I$18-Assumptions!$D$30)*MIN(F$212/Assumptions!$D$33,1))*F230</f>
        <v>129.89964288000004</v>
      </c>
      <c r="G231" s="55">
        <f>(Assumptions!$D$30+(Assumptions!$I$18-Assumptions!$D$30)*MIN(G$212/Assumptions!$D$33,1))*G230</f>
        <v>181.31663585280003</v>
      </c>
      <c r="H231" s="55">
        <f>(Assumptions!$D$30+(Assumptions!$I$18-Assumptions!$D$30)*MIN(H$212/Assumptions!$D$33,1))*H230</f>
        <v>243.20315228160007</v>
      </c>
      <c r="I231" s="55">
        <f>(Assumptions!$D$30+(Assumptions!$I$18-Assumptions!$D$30)*MIN(I$212/Assumptions!$D$33,1))*I230</f>
        <v>272.38753055539212</v>
      </c>
      <c r="J231" s="55">
        <f>(Assumptions!$D$30+(Assumptions!$I$18-Assumptions!$D$30)*MIN(J$212/Assumptions!$D$33,1))*J230</f>
        <v>305.07403422203919</v>
      </c>
      <c r="K231" s="55">
        <f>(Assumptions!$D$30+(Assumptions!$I$18-Assumptions!$D$30)*MIN(K$212/Assumptions!$D$33,1))*K230</f>
        <v>341.68291832868391</v>
      </c>
      <c r="L231" s="55">
        <f>(Assumptions!$D$30+(Assumptions!$I$18-Assumptions!$D$30)*MIN(L$212/Assumptions!$D$33,1))*L230</f>
        <v>382.684868528126</v>
      </c>
      <c r="M231" s="55">
        <f>(Assumptions!$D$30+(Assumptions!$I$18-Assumptions!$D$30)*MIN(M$212/Assumptions!$D$33,1))*M230</f>
        <v>428.60705275150116</v>
      </c>
    </row>
    <row r="232" spans="2:13" ht="15" customHeight="1" x14ac:dyDescent="0.35">
      <c r="B232" s="51" t="s">
        <v>738</v>
      </c>
      <c r="C232" s="53">
        <f>MAX(Assumptions!$D$30,INDEX(C221:M221,$C$208+1)/INDEX(C213:M213,$C$208+1))</f>
        <v>3.5000000000000003E-2</v>
      </c>
    </row>
    <row r="234" spans="2:13" ht="15" customHeight="1" x14ac:dyDescent="0.35">
      <c r="B234" s="51" t="s">
        <v>739</v>
      </c>
      <c r="C234" s="57">
        <f>SUMPRODUCT($C$227:$M$227,$C$229:$M$229,($C$212:$M$212&lt;=$C$208)*1)</f>
        <v>149.47924988689638</v>
      </c>
    </row>
    <row r="235" spans="2:13" ht="15" customHeight="1" x14ac:dyDescent="0.35">
      <c r="B235" s="51" t="s">
        <v>740</v>
      </c>
      <c r="C235" s="57">
        <f>-MIN($C$228:$M$228)</f>
        <v>212.60889521664913</v>
      </c>
    </row>
    <row r="236" spans="2:13" ht="15" customHeight="1" x14ac:dyDescent="0.35">
      <c r="B236" s="51" t="s">
        <v>741</v>
      </c>
      <c r="C236" s="58">
        <f>Assumptions!$I$17</f>
        <v>0.11</v>
      </c>
    </row>
    <row r="237" spans="2:13" ht="15" customHeight="1" x14ac:dyDescent="0.35">
      <c r="B237" s="59" t="s">
        <v>742</v>
      </c>
      <c r="C237" s="60">
        <f>$C$234/$C$236</f>
        <v>1358.902271699058</v>
      </c>
    </row>
    <row r="238" spans="2:13" ht="15" customHeight="1" x14ac:dyDescent="0.35">
      <c r="B238" s="51" t="s">
        <v>743</v>
      </c>
      <c r="C238" s="57">
        <f>SUMPRODUCT($C$231:$M$231-$C$223:$M$223*($C$212:$M$212&gt;$C$208),$C$229:$M$229,($C$212:$M$212&gt;=1)*1)</f>
        <v>1121.3159029856868</v>
      </c>
    </row>
    <row r="239" spans="2:13" ht="15" customHeight="1" x14ac:dyDescent="0.35">
      <c r="B239" s="51" t="s">
        <v>744</v>
      </c>
      <c r="C239" s="57">
        <f>$M$230-$M$213</f>
        <v>1372.2844157575057</v>
      </c>
    </row>
    <row r="240" spans="2:13" ht="15" customHeight="1" x14ac:dyDescent="0.35">
      <c r="B240" s="51" t="s">
        <v>745</v>
      </c>
      <c r="C240" s="57">
        <f>$C$239*Assumptions!$I$18/(Assumptions!$I$15-Assumptions!$I$25)*$M$229</f>
        <v>1493.4199004906761</v>
      </c>
    </row>
    <row r="241" spans="1:13" ht="15" customHeight="1" x14ac:dyDescent="0.35">
      <c r="B241" s="59" t="s">
        <v>746</v>
      </c>
      <c r="C241" s="60">
        <f>$C$238+$C$240</f>
        <v>2614.7358034763629</v>
      </c>
    </row>
    <row r="242" spans="1:13" ht="15" customHeight="1" x14ac:dyDescent="0.35">
      <c r="B242" s="59" t="s">
        <v>747</v>
      </c>
      <c r="C242" s="60">
        <f>$C$237+$C$241</f>
        <v>3973.6380751754209</v>
      </c>
    </row>
    <row r="243" spans="1:13" ht="15" customHeight="1" x14ac:dyDescent="0.35">
      <c r="B243" s="51" t="s">
        <v>748</v>
      </c>
      <c r="C243" s="57">
        <f>Assumptions!$I$21+Assumptions!$I$23+Assumptions!$I$20-Assumptions!$I$22</f>
        <v>527</v>
      </c>
    </row>
    <row r="244" spans="1:13" ht="15" customHeight="1" x14ac:dyDescent="0.35">
      <c r="B244" s="51" t="s">
        <v>749</v>
      </c>
      <c r="C244" s="57">
        <f>Assumptions!$D$29+$C$243</f>
        <v>3233.45</v>
      </c>
    </row>
    <row r="245" spans="1:13" ht="15" customHeight="1" x14ac:dyDescent="0.35">
      <c r="B245" s="59" t="s">
        <v>750</v>
      </c>
      <c r="C245" s="60">
        <f>$C$242-$C$243</f>
        <v>3446.6380751754209</v>
      </c>
    </row>
    <row r="246" spans="1:13" ht="15" customHeight="1" x14ac:dyDescent="0.35">
      <c r="B246" s="51" t="s">
        <v>751</v>
      </c>
      <c r="C246" s="57">
        <f>$C$245-Assumptions!$D$29</f>
        <v>740.18807517542109</v>
      </c>
    </row>
    <row r="247" spans="1:13" ht="15" customHeight="1" x14ac:dyDescent="0.35">
      <c r="B247" s="51" t="s">
        <v>752</v>
      </c>
      <c r="C247" s="57">
        <f>SUMPRODUCT($C$227:$M$227,$C$229:$M$229,($C$212:$M$212&lt;=$C$210)*1)</f>
        <v>90.250029459325489</v>
      </c>
    </row>
    <row r="248" spans="1:13" ht="15" customHeight="1" x14ac:dyDescent="0.35">
      <c r="B248" s="51" t="s">
        <v>753</v>
      </c>
      <c r="C248" s="57">
        <f>$C$234+(1/$C$236-1)*$C$247</f>
        <v>879.68403369416626</v>
      </c>
    </row>
    <row r="249" spans="1:13" ht="15" customHeight="1" x14ac:dyDescent="0.35">
      <c r="B249" s="51" t="s">
        <v>754</v>
      </c>
      <c r="C249" s="57">
        <f>$C$248+$C$241-$C$243</f>
        <v>2967.4198371705293</v>
      </c>
    </row>
    <row r="250" spans="1:13" ht="15" customHeight="1" x14ac:dyDescent="0.35">
      <c r="B250" s="51" t="s">
        <v>755</v>
      </c>
      <c r="C250" s="57">
        <f>SUMPRODUCT($C$231:$M$231,$C$229:$M$229,($C$212:$M$212&gt;=1)*1)+$M$231*(1+Assumptions!$I$25)/(Assumptions!$I$15-Assumptions!$I$25)*$M$229</f>
        <v>3646.8877553117895</v>
      </c>
    </row>
    <row r="252" spans="1:13" ht="15" customHeight="1" x14ac:dyDescent="0.35">
      <c r="A252" s="49" t="s">
        <v>793</v>
      </c>
      <c r="B252" s="50"/>
      <c r="C252" s="50"/>
      <c r="D252" s="50"/>
      <c r="E252" s="50"/>
      <c r="F252" s="50"/>
      <c r="G252" s="50"/>
      <c r="H252" s="50"/>
      <c r="I252" s="50"/>
      <c r="J252" s="50"/>
      <c r="K252" s="50"/>
      <c r="L252" s="50"/>
      <c r="M252" s="50"/>
    </row>
    <row r="253" spans="1:13" ht="15" customHeight="1" x14ac:dyDescent="0.35">
      <c r="B253" s="51" t="s">
        <v>715</v>
      </c>
      <c r="C253" s="52">
        <f>ROUND(Sensitivity!$G$17,0)</f>
        <v>8</v>
      </c>
    </row>
    <row r="254" spans="1:13" ht="15" customHeight="1" x14ac:dyDescent="0.35">
      <c r="B254" s="51" t="s">
        <v>716</v>
      </c>
      <c r="C254" s="53">
        <f>(Assumptions!$I$26/Assumptions!$I$3)^(1/($C$253-1))</f>
        <v>1.4561244531032729</v>
      </c>
    </row>
    <row r="255" spans="1:13" ht="15" customHeight="1" x14ac:dyDescent="0.35">
      <c r="B255" s="51" t="s">
        <v>717</v>
      </c>
      <c r="C255" s="52">
        <f>INT(Assumptions!$I$24)</f>
        <v>3</v>
      </c>
    </row>
    <row r="257" spans="2:13" ht="15" customHeight="1" x14ac:dyDescent="0.35">
      <c r="B257" s="54" t="s">
        <v>718</v>
      </c>
      <c r="C257" s="54">
        <v>0</v>
      </c>
      <c r="D257" s="54">
        <v>1</v>
      </c>
      <c r="E257" s="54">
        <v>2</v>
      </c>
      <c r="F257" s="54">
        <v>3</v>
      </c>
      <c r="G257" s="54">
        <v>4</v>
      </c>
      <c r="H257" s="54">
        <v>5</v>
      </c>
      <c r="I257" s="54">
        <v>6</v>
      </c>
      <c r="J257" s="54">
        <v>7</v>
      </c>
      <c r="K257" s="54">
        <v>8</v>
      </c>
      <c r="L257" s="54">
        <v>9</v>
      </c>
      <c r="M257" s="54">
        <v>10</v>
      </c>
    </row>
    <row r="258" spans="2:13" ht="15" customHeight="1" x14ac:dyDescent="0.35">
      <c r="B258" s="51" t="s">
        <v>719</v>
      </c>
      <c r="C258" s="55">
        <f>IF(C$257=0,0,IF(C$257&lt;=$C$253,Assumptions!$I$3*$C$254^(C$257-1),0))</f>
        <v>0</v>
      </c>
      <c r="D258" s="55">
        <f>IF(D$257=0,0,IF(D$257&lt;=$C$253,Assumptions!$I$3*$C$254^(D$257-1),C258*(1+IF(D$257-$C$253=1,Assumptions!$D$31,IF(D$257-$C$253=2,Assumptions!$D$32,Assumptions!$I$16)))))</f>
        <v>25</v>
      </c>
      <c r="E258" s="55">
        <f>IF(E$257=0,0,IF(E$257&lt;=$C$253,Assumptions!$I$3*$C$254^(E$257-1),D258*(1+IF(E$257-$C$253=1,Assumptions!$D$31,IF(E$257-$C$253=2,Assumptions!$D$32,Assumptions!$I$16)))))</f>
        <v>36.403111327581819</v>
      </c>
      <c r="F258" s="55">
        <f>IF(F$257=0,0,IF(F$257&lt;=$C$253,Assumptions!$I$3*$C$254^(F$257-1),E258*(1+IF(F$257-$C$253=1,Assumptions!$D$31,IF(F$257-$C$253=2,Assumptions!$D$32,Assumptions!$I$16)))))</f>
        <v>53.007460573132633</v>
      </c>
      <c r="G258" s="55">
        <f>IF(G$257=0,0,IF(G$257&lt;=$C$253,Assumptions!$I$3*$C$254^(G$257-1),F258*(1+IF(G$257-$C$253=1,Assumptions!$D$31,IF(G$257-$C$253=2,Assumptions!$D$32,Assumptions!$I$16)))))</f>
        <v>77.18545953744605</v>
      </c>
      <c r="H258" s="55">
        <f>IF(H$257=0,0,IF(H$257&lt;=$C$253,Assumptions!$I$3*$C$254^(H$257-1),G258*(1+IF(H$257-$C$253=1,Assumptions!$D$31,IF(H$257-$C$253=2,Assumptions!$D$32,Assumptions!$I$16)))))</f>
        <v>112.39163505648844</v>
      </c>
      <c r="I258" s="55">
        <f>IF(I$257=0,0,IF(I$257&lt;=$C$253,Assumptions!$I$3*$C$254^(I$257-1),H258*(1+IF(I$257-$C$253=1,Assumptions!$D$31,IF(I$257-$C$253=2,Assumptions!$D$32,Assumptions!$I$16)))))</f>
        <v>163.65620813001186</v>
      </c>
      <c r="J258" s="55">
        <f>IF(J$257=0,0,IF(J$257&lt;=$C$253,Assumptions!$I$3*$C$254^(J$257-1),I258*(1+IF(J$257-$C$253=1,Assumptions!$D$31,IF(J$257-$C$253=2,Assumptions!$D$32,Assumptions!$I$16)))))</f>
        <v>238.3038065602689</v>
      </c>
      <c r="K258" s="55">
        <f>IF(K$257=0,0,IF(K$257&lt;=$C$253,Assumptions!$I$3*$C$254^(K$257-1),J258*(1+IF(K$257-$C$253=1,Assumptions!$D$31,IF(K$257-$C$253=2,Assumptions!$D$32,Assumptions!$I$16)))))</f>
        <v>346.99999999999966</v>
      </c>
      <c r="L258" s="55">
        <f>IF(L$257=0,0,IF(L$257&lt;=$C$253,Assumptions!$I$3*$C$254^(L$257-1),K258*(1+IF(L$257-$C$253=1,Assumptions!$D$31,IF(L$257-$C$253=2,Assumptions!$D$32,Assumptions!$I$16)))))</f>
        <v>513.55999999999949</v>
      </c>
      <c r="M258" s="55">
        <f>IF(M$257=0,0,IF(M$257&lt;=$C$253,Assumptions!$I$3*$C$254^(M$257-1),L258*(1+IF(M$257-$C$253=1,Assumptions!$D$31,IF(M$257-$C$253=2,Assumptions!$D$32,Assumptions!$I$16)))))</f>
        <v>688.1703999999994</v>
      </c>
    </row>
    <row r="259" spans="2:13" ht="15" customHeight="1" x14ac:dyDescent="0.35">
      <c r="B259" s="51" t="s">
        <v>720</v>
      </c>
      <c r="C259" s="53">
        <f>IF(C$257=0,0,IF(C$257&lt;=$C$253,IF(C$257&lt;=2,Assumptions!$I$4,Assumptions!$I$4+(C$257-2)/MAX($C$253-2,1)*(Assumptions!$I$5-Assumptions!$I$4)),Assumptions!$I$5))</f>
        <v>0</v>
      </c>
      <c r="D259" s="53">
        <f>IF(D$257=0,0,IF(D$257&lt;=$C$253,IF(D$257&lt;=2,Assumptions!$I$4,Assumptions!$I$4+(D$257-2)/MAX($C$253-2,1)*(Assumptions!$I$5-Assumptions!$I$4)),Assumptions!$I$5))</f>
        <v>0.6</v>
      </c>
      <c r="E259" s="53">
        <f>IF(E$257=0,0,IF(E$257&lt;=$C$253,IF(E$257&lt;=2,Assumptions!$I$4,Assumptions!$I$4+(E$257-2)/MAX($C$253-2,1)*(Assumptions!$I$5-Assumptions!$I$4)),Assumptions!$I$5))</f>
        <v>0.6</v>
      </c>
      <c r="F259" s="53">
        <f>IF(F$257=0,0,IF(F$257&lt;=$C$253,IF(F$257&lt;=2,Assumptions!$I$4,Assumptions!$I$4+(F$257-2)/MAX($C$253-2,1)*(Assumptions!$I$5-Assumptions!$I$4)),Assumptions!$I$5))</f>
        <v>0.6166666666666667</v>
      </c>
      <c r="G259" s="53">
        <f>IF(G$257=0,0,IF(G$257&lt;=$C$253,IF(G$257&lt;=2,Assumptions!$I$4,Assumptions!$I$4+(G$257-2)/MAX($C$253-2,1)*(Assumptions!$I$5-Assumptions!$I$4)),Assumptions!$I$5))</f>
        <v>0.6333333333333333</v>
      </c>
      <c r="H259" s="53">
        <f>IF(H$257=0,0,IF(H$257&lt;=$C$253,IF(H$257&lt;=2,Assumptions!$I$4,Assumptions!$I$4+(H$257-2)/MAX($C$253-2,1)*(Assumptions!$I$5-Assumptions!$I$4)),Assumptions!$I$5))</f>
        <v>0.64999999999999991</v>
      </c>
      <c r="I259" s="53">
        <f>IF(I$257=0,0,IF(I$257&lt;=$C$253,IF(I$257&lt;=2,Assumptions!$I$4,Assumptions!$I$4+(I$257-2)/MAX($C$253-2,1)*(Assumptions!$I$5-Assumptions!$I$4)),Assumptions!$I$5))</f>
        <v>0.66666666666666663</v>
      </c>
      <c r="J259" s="53">
        <f>IF(J$257=0,0,IF(J$257&lt;=$C$253,IF(J$257&lt;=2,Assumptions!$I$4,Assumptions!$I$4+(J$257-2)/MAX($C$253-2,1)*(Assumptions!$I$5-Assumptions!$I$4)),Assumptions!$I$5))</f>
        <v>0.68333333333333335</v>
      </c>
      <c r="K259" s="53">
        <f>IF(K$257=0,0,IF(K$257&lt;=$C$253,IF(K$257&lt;=2,Assumptions!$I$4,Assumptions!$I$4+(K$257-2)/MAX($C$253-2,1)*(Assumptions!$I$5-Assumptions!$I$4)),Assumptions!$I$5))</f>
        <v>0.7</v>
      </c>
      <c r="L259" s="53">
        <f>IF(L$257=0,0,IF(L$257&lt;=$C$253,IF(L$257&lt;=2,Assumptions!$I$4,Assumptions!$I$4+(L$257-2)/MAX($C$253-2,1)*(Assumptions!$I$5-Assumptions!$I$4)),Assumptions!$I$5))</f>
        <v>0.7</v>
      </c>
      <c r="M259" s="53">
        <f>IF(M$257=0,0,IF(M$257&lt;=$C$253,IF(M$257&lt;=2,Assumptions!$I$4,Assumptions!$I$4+(M$257-2)/MAX($C$253-2,1)*(Assumptions!$I$5-Assumptions!$I$4)),Assumptions!$I$5))</f>
        <v>0.7</v>
      </c>
    </row>
    <row r="260" spans="2:13" ht="15" customHeight="1" x14ac:dyDescent="0.35">
      <c r="B260" s="51" t="s">
        <v>721</v>
      </c>
      <c r="C260" s="53">
        <f>IF(C$257=0,0,IF(C$257&lt;=$C$253,IF(C$257&lt;=2,Assumptions!$I$6,Assumptions!$I$7),Assumptions!$I$8))</f>
        <v>0</v>
      </c>
      <c r="D260" s="53">
        <f>IF(D$257=0,0,IF(D$257&lt;=$C$253,IF(D$257&lt;=2,Assumptions!$I$6,Assumptions!$I$7),Assumptions!$I$8))</f>
        <v>0.5</v>
      </c>
      <c r="E260" s="53">
        <f>IF(E$257=0,0,IF(E$257&lt;=$C$253,IF(E$257&lt;=2,Assumptions!$I$6,Assumptions!$I$7),Assumptions!$I$8))</f>
        <v>0.5</v>
      </c>
      <c r="F260" s="53">
        <f>IF(F$257=0,0,IF(F$257&lt;=$C$253,IF(F$257&lt;=2,Assumptions!$I$6,Assumptions!$I$7),Assumptions!$I$8))</f>
        <v>0.38</v>
      </c>
      <c r="G260" s="53">
        <f>IF(G$257=0,0,IF(G$257&lt;=$C$253,IF(G$257&lt;=2,Assumptions!$I$6,Assumptions!$I$7),Assumptions!$I$8))</f>
        <v>0.38</v>
      </c>
      <c r="H260" s="53">
        <f>IF(H$257=0,0,IF(H$257&lt;=$C$253,IF(H$257&lt;=2,Assumptions!$I$6,Assumptions!$I$7),Assumptions!$I$8))</f>
        <v>0.38</v>
      </c>
      <c r="I260" s="53">
        <f>IF(I$257=0,0,IF(I$257&lt;=$C$253,IF(I$257&lt;=2,Assumptions!$I$6,Assumptions!$I$7),Assumptions!$I$8))</f>
        <v>0.38</v>
      </c>
      <c r="J260" s="53">
        <f>IF(J$257=0,0,IF(J$257&lt;=$C$253,IF(J$257&lt;=2,Assumptions!$I$6,Assumptions!$I$7),Assumptions!$I$8))</f>
        <v>0.38</v>
      </c>
      <c r="K260" s="53">
        <f>IF(K$257=0,0,IF(K$257&lt;=$C$253,IF(K$257&lt;=2,Assumptions!$I$6,Assumptions!$I$7),Assumptions!$I$8))</f>
        <v>0.38</v>
      </c>
      <c r="L260" s="53">
        <f>IF(L$257=0,0,IF(L$257&lt;=$C$253,IF(L$257&lt;=2,Assumptions!$I$6,Assumptions!$I$7),Assumptions!$I$8))</f>
        <v>0.3</v>
      </c>
      <c r="M260" s="53">
        <f>IF(M$257=0,0,IF(M$257&lt;=$C$253,IF(M$257&lt;=2,Assumptions!$I$6,Assumptions!$I$7),Assumptions!$I$8))</f>
        <v>0.3</v>
      </c>
    </row>
    <row r="261" spans="2:13" ht="15" customHeight="1" x14ac:dyDescent="0.35">
      <c r="B261" s="51" t="s">
        <v>722</v>
      </c>
      <c r="C261" s="55">
        <f t="shared" ref="C261:M261" si="47">C259*C258</f>
        <v>0</v>
      </c>
      <c r="D261" s="55">
        <f t="shared" si="47"/>
        <v>15</v>
      </c>
      <c r="E261" s="55">
        <f t="shared" si="47"/>
        <v>21.841866796549091</v>
      </c>
      <c r="F261" s="55">
        <f t="shared" si="47"/>
        <v>32.68793402009846</v>
      </c>
      <c r="G261" s="55">
        <f t="shared" si="47"/>
        <v>48.884124373715828</v>
      </c>
      <c r="H261" s="55">
        <f t="shared" si="47"/>
        <v>73.054562786717469</v>
      </c>
      <c r="I261" s="55">
        <f t="shared" si="47"/>
        <v>109.10413875334123</v>
      </c>
      <c r="J261" s="55">
        <f t="shared" si="47"/>
        <v>162.84093448285043</v>
      </c>
      <c r="K261" s="55">
        <f t="shared" si="47"/>
        <v>242.89999999999975</v>
      </c>
      <c r="L261" s="55">
        <f t="shared" si="47"/>
        <v>359.49199999999962</v>
      </c>
      <c r="M261" s="55">
        <f t="shared" si="47"/>
        <v>481.71927999999957</v>
      </c>
    </row>
    <row r="262" spans="2:13" ht="15" customHeight="1" x14ac:dyDescent="0.35">
      <c r="B262" s="51" t="s">
        <v>723</v>
      </c>
      <c r="C262" s="55">
        <f t="shared" ref="C262:M262" si="48">C260*C258</f>
        <v>0</v>
      </c>
      <c r="D262" s="55">
        <f t="shared" si="48"/>
        <v>12.5</v>
      </c>
      <c r="E262" s="55">
        <f t="shared" si="48"/>
        <v>18.201555663790909</v>
      </c>
      <c r="F262" s="55">
        <f t="shared" si="48"/>
        <v>20.1428350177904</v>
      </c>
      <c r="G262" s="55">
        <f t="shared" si="48"/>
        <v>29.330474624229499</v>
      </c>
      <c r="H262" s="55">
        <f t="shared" si="48"/>
        <v>42.708821321465607</v>
      </c>
      <c r="I262" s="55">
        <f t="shared" si="48"/>
        <v>62.189359089404512</v>
      </c>
      <c r="J262" s="55">
        <f t="shared" si="48"/>
        <v>90.555446492902178</v>
      </c>
      <c r="K262" s="55">
        <f t="shared" si="48"/>
        <v>131.85999999999987</v>
      </c>
      <c r="L262" s="55">
        <f t="shared" si="48"/>
        <v>154.06799999999984</v>
      </c>
      <c r="M262" s="55">
        <f t="shared" si="48"/>
        <v>206.4511199999998</v>
      </c>
    </row>
    <row r="263" spans="2:13" ht="15" customHeight="1" x14ac:dyDescent="0.35">
      <c r="B263" s="51" t="s">
        <v>724</v>
      </c>
      <c r="C263" s="55">
        <f>Assumptions!$I$12+Assumptions!$I$13*C258</f>
        <v>5</v>
      </c>
      <c r="D263" s="55">
        <f>Assumptions!$I$12+Assumptions!$I$13*D258</f>
        <v>5.5</v>
      </c>
      <c r="E263" s="55">
        <f>Assumptions!$I$12+Assumptions!$I$13*E258</f>
        <v>5.7280622265516365</v>
      </c>
      <c r="F263" s="55">
        <f>Assumptions!$I$12+Assumptions!$I$13*F258</f>
        <v>6.0601492114626527</v>
      </c>
      <c r="G263" s="55">
        <f>Assumptions!$I$12+Assumptions!$I$13*G258</f>
        <v>6.5437091907489213</v>
      </c>
      <c r="H263" s="55">
        <f>Assumptions!$I$12+Assumptions!$I$13*H258</f>
        <v>7.2478327011297683</v>
      </c>
      <c r="I263" s="55">
        <f>Assumptions!$I$12+Assumptions!$I$13*I258</f>
        <v>8.2731241626002365</v>
      </c>
      <c r="J263" s="55">
        <f>Assumptions!$I$12+Assumptions!$I$13*J258</f>
        <v>9.7660761312053772</v>
      </c>
      <c r="K263" s="55">
        <f>Assumptions!$I$12+Assumptions!$I$13*K258</f>
        <v>11.939999999999994</v>
      </c>
      <c r="L263" s="55">
        <f>Assumptions!$I$12+Assumptions!$I$13*L258</f>
        <v>15.27119999999999</v>
      </c>
      <c r="M263" s="55">
        <f>Assumptions!$I$12+Assumptions!$I$13*M258</f>
        <v>18.763407999999988</v>
      </c>
    </row>
    <row r="264" spans="2:13" ht="15" customHeight="1" x14ac:dyDescent="0.35">
      <c r="B264" s="51" t="s">
        <v>725</v>
      </c>
      <c r="C264" s="55">
        <f>IF(C$257=0,0.5*Assumptions!$I$10,MAX(Assumptions!$I$10,Assumptions!$I$11*C258))</f>
        <v>10</v>
      </c>
      <c r="D264" s="55">
        <f>IF(D$257=0,0.5*Assumptions!$I$10,MAX(Assumptions!$I$10,Assumptions!$I$11*D258))</f>
        <v>20</v>
      </c>
      <c r="E264" s="55">
        <f>IF(E$257=0,0.5*Assumptions!$I$10,MAX(Assumptions!$I$10,Assumptions!$I$11*E258))</f>
        <v>20</v>
      </c>
      <c r="F264" s="55">
        <f>IF(F$257=0,0.5*Assumptions!$I$10,MAX(Assumptions!$I$10,Assumptions!$I$11*F258))</f>
        <v>20</v>
      </c>
      <c r="G264" s="55">
        <f>IF(G$257=0,0.5*Assumptions!$I$10,MAX(Assumptions!$I$10,Assumptions!$I$11*G258))</f>
        <v>20</v>
      </c>
      <c r="H264" s="55">
        <f>IF(H$257=0,0.5*Assumptions!$I$10,MAX(Assumptions!$I$10,Assumptions!$I$11*H258))</f>
        <v>20</v>
      </c>
      <c r="I264" s="55">
        <f>IF(I$257=0,0.5*Assumptions!$I$10,MAX(Assumptions!$I$10,Assumptions!$I$11*I258))</f>
        <v>20</v>
      </c>
      <c r="J264" s="55">
        <f>IF(J$257=0,0.5*Assumptions!$I$10,MAX(Assumptions!$I$10,Assumptions!$I$11*J258))</f>
        <v>20</v>
      </c>
      <c r="K264" s="55">
        <f>IF(K$257=0,0.5*Assumptions!$I$10,MAX(Assumptions!$I$10,Assumptions!$I$11*K258))</f>
        <v>26.024999999999974</v>
      </c>
      <c r="L264" s="55">
        <f>IF(L$257=0,0.5*Assumptions!$I$10,MAX(Assumptions!$I$10,Assumptions!$I$11*L258))</f>
        <v>38.51699999999996</v>
      </c>
      <c r="M264" s="55">
        <f>IF(M$257=0,0.5*Assumptions!$I$10,MAX(Assumptions!$I$10,Assumptions!$I$11*M258))</f>
        <v>51.612779999999951</v>
      </c>
    </row>
    <row r="265" spans="2:13" ht="15" customHeight="1" x14ac:dyDescent="0.35">
      <c r="B265" s="51" t="s">
        <v>726</v>
      </c>
      <c r="C265" s="55">
        <f>IF(C$257=0,0,Assumptions!$I$9*C258)</f>
        <v>0</v>
      </c>
      <c r="D265" s="55">
        <f>IF(D$257=0,0,Assumptions!$I$9*D258)</f>
        <v>6.25</v>
      </c>
      <c r="E265" s="55">
        <f>IF(E$257=0,0,Assumptions!$I$9*E258)</f>
        <v>9.1007778318954546</v>
      </c>
      <c r="F265" s="55">
        <f>IF(F$257=0,0,Assumptions!$I$9*F258)</f>
        <v>13.251865143283158</v>
      </c>
      <c r="G265" s="55">
        <f>IF(G$257=0,0,Assumptions!$I$9*G258)</f>
        <v>19.296364884361513</v>
      </c>
      <c r="H265" s="55">
        <f>IF(H$257=0,0,Assumptions!$I$9*H258)</f>
        <v>28.09790876412211</v>
      </c>
      <c r="I265" s="55">
        <f>IF(I$257=0,0,Assumptions!$I$9*I258)</f>
        <v>40.914052032502966</v>
      </c>
      <c r="J265" s="55">
        <f>IF(J$257=0,0,Assumptions!$I$9*J258)</f>
        <v>59.575951640067224</v>
      </c>
      <c r="K265" s="55">
        <f>IF(K$257=0,0,Assumptions!$I$9*K258)</f>
        <v>86.749999999999915</v>
      </c>
      <c r="L265" s="55">
        <f>IF(L$257=0,0,Assumptions!$I$9*L258)</f>
        <v>128.38999999999987</v>
      </c>
      <c r="M265" s="55">
        <f>IF(M$257=0,0,Assumptions!$I$9*M258)</f>
        <v>172.04259999999985</v>
      </c>
    </row>
    <row r="266" spans="2:13" ht="15" customHeight="1" x14ac:dyDescent="0.35">
      <c r="B266" s="51" t="s">
        <v>727</v>
      </c>
      <c r="C266" s="55">
        <f t="shared" ref="C266:M266" si="49">C261-C262-C265-C264-C263</f>
        <v>-15</v>
      </c>
      <c r="D266" s="55">
        <f t="shared" si="49"/>
        <v>-29.25</v>
      </c>
      <c r="E266" s="55">
        <f t="shared" si="49"/>
        <v>-31.188528925688907</v>
      </c>
      <c r="F266" s="55">
        <f t="shared" si="49"/>
        <v>-26.766915352437749</v>
      </c>
      <c r="G266" s="55">
        <f t="shared" si="49"/>
        <v>-26.286424325624104</v>
      </c>
      <c r="H266" s="55">
        <f t="shared" si="49"/>
        <v>-25.000000000000014</v>
      </c>
      <c r="I266" s="55">
        <f t="shared" si="49"/>
        <v>-22.272396531166482</v>
      </c>
      <c r="J266" s="55">
        <f t="shared" si="49"/>
        <v>-17.05653978132435</v>
      </c>
      <c r="K266" s="55">
        <f t="shared" si="49"/>
        <v>-13.675000000000004</v>
      </c>
      <c r="L266" s="55">
        <f t="shared" si="49"/>
        <v>23.245799999999956</v>
      </c>
      <c r="M266" s="55">
        <f t="shared" si="49"/>
        <v>32.849371999999946</v>
      </c>
    </row>
    <row r="267" spans="2:13" ht="15" customHeight="1" x14ac:dyDescent="0.35">
      <c r="B267" s="51" t="s">
        <v>728</v>
      </c>
      <c r="C267" s="55">
        <f t="shared" ref="C267:M267" si="50">IF(C$257&lt;=$C$253,C265,C261-C262-C264-C263-C268)</f>
        <v>0</v>
      </c>
      <c r="D267" s="55">
        <f t="shared" si="50"/>
        <v>6.25</v>
      </c>
      <c r="E267" s="55">
        <f t="shared" si="50"/>
        <v>9.1007778318954546</v>
      </c>
      <c r="F267" s="55">
        <f t="shared" si="50"/>
        <v>13.251865143283158</v>
      </c>
      <c r="G267" s="55">
        <f t="shared" si="50"/>
        <v>19.296364884361513</v>
      </c>
      <c r="H267" s="55">
        <f t="shared" si="50"/>
        <v>28.09790876412211</v>
      </c>
      <c r="I267" s="55">
        <f t="shared" si="50"/>
        <v>40.914052032502966</v>
      </c>
      <c r="J267" s="55">
        <f t="shared" si="50"/>
        <v>59.575951640067224</v>
      </c>
      <c r="K267" s="55">
        <f t="shared" si="50"/>
        <v>86.749999999999915</v>
      </c>
      <c r="L267" s="55">
        <f t="shared" si="50"/>
        <v>116.71371999999985</v>
      </c>
      <c r="M267" s="55">
        <f t="shared" si="50"/>
        <v>135.38676159999983</v>
      </c>
    </row>
    <row r="268" spans="2:13" ht="15" customHeight="1" x14ac:dyDescent="0.35">
      <c r="B268" s="51" t="s">
        <v>729</v>
      </c>
      <c r="C268" s="55">
        <f>IF(C$257&lt;=$C$253,C266,($C$277+(Assumptions!$I$18-$C$277)*MIN(MAX(C$257-$C$253,0)/Assumptions!$D$33,1))*C258)</f>
        <v>-15</v>
      </c>
      <c r="D268" s="55">
        <f>IF(D$257&lt;=$C$253,D266,($C$277+(Assumptions!$I$18-$C$277)*MIN(MAX(D$257-$C$253,0)/Assumptions!$D$33,1))*D258)</f>
        <v>-29.25</v>
      </c>
      <c r="E268" s="55">
        <f>IF(E$257&lt;=$C$253,E266,($C$277+(Assumptions!$I$18-$C$277)*MIN(MAX(E$257-$C$253,0)/Assumptions!$D$33,1))*E258)</f>
        <v>-31.188528925688907</v>
      </c>
      <c r="F268" s="55">
        <f>IF(F$257&lt;=$C$253,F266,($C$277+(Assumptions!$I$18-$C$277)*MIN(MAX(F$257-$C$253,0)/Assumptions!$D$33,1))*F258)</f>
        <v>-26.766915352437749</v>
      </c>
      <c r="G268" s="55">
        <f>IF(G$257&lt;=$C$253,G266,($C$277+(Assumptions!$I$18-$C$277)*MIN(MAX(G$257-$C$253,0)/Assumptions!$D$33,1))*G258)</f>
        <v>-26.286424325624104</v>
      </c>
      <c r="H268" s="55">
        <f>IF(H$257&lt;=$C$253,H266,($C$277+(Assumptions!$I$18-$C$277)*MIN(MAX(H$257-$C$253,0)/Assumptions!$D$33,1))*H258)</f>
        <v>-25.000000000000014</v>
      </c>
      <c r="I268" s="55">
        <f>IF(I$257&lt;=$C$253,I266,($C$277+(Assumptions!$I$18-$C$277)*MIN(MAX(I$257-$C$253,0)/Assumptions!$D$33,1))*I258)</f>
        <v>-22.272396531166482</v>
      </c>
      <c r="J268" s="55">
        <f>IF(J$257&lt;=$C$253,J266,($C$277+(Assumptions!$I$18-$C$277)*MIN(MAX(J$257-$C$253,0)/Assumptions!$D$33,1))*J258)</f>
        <v>-17.05653978132435</v>
      </c>
      <c r="K268" s="55">
        <f>IF(K$257&lt;=$C$253,K266,($C$277+(Assumptions!$I$18-$C$277)*MIN(MAX(K$257-$C$253,0)/Assumptions!$D$33,1))*K258)</f>
        <v>-13.675000000000004</v>
      </c>
      <c r="L268" s="55">
        <f>IF(L$257&lt;=$C$253,L266,($C$277+(Assumptions!$I$18-$C$277)*MIN(MAX(L$257-$C$253,0)/Assumptions!$D$33,1))*L258)</f>
        <v>34.922079999999966</v>
      </c>
      <c r="M268" s="55">
        <f>IF(M$257&lt;=$C$253,M266,($C$277+(Assumptions!$I$18-$C$277)*MIN(MAX(M$257-$C$253,0)/Assumptions!$D$33,1))*M258)</f>
        <v>69.505210399999939</v>
      </c>
    </row>
    <row r="269" spans="2:13" ht="15" customHeight="1" x14ac:dyDescent="0.35">
      <c r="B269" s="51" t="s">
        <v>730</v>
      </c>
      <c r="C269" s="55">
        <f>Assumptions!$I$14/365*C258</f>
        <v>0</v>
      </c>
      <c r="D269" s="55">
        <f>Assumptions!$I$14/365*D258</f>
        <v>2.054794520547945</v>
      </c>
      <c r="E269" s="55">
        <f>Assumptions!$I$14/365*E258</f>
        <v>2.9920365474724782</v>
      </c>
      <c r="F269" s="55">
        <f>Assumptions!$I$14/365*F258</f>
        <v>4.3567775813533665</v>
      </c>
      <c r="G269" s="55">
        <f>Assumptions!$I$14/365*G258</f>
        <v>6.3440103729407706</v>
      </c>
      <c r="H269" s="55">
        <f>Assumptions!$I$14/365*H258</f>
        <v>9.2376686347798707</v>
      </c>
      <c r="I269" s="55">
        <f>Assumptions!$I$14/365*I258</f>
        <v>13.451195188768098</v>
      </c>
      <c r="J269" s="55">
        <f>Assumptions!$I$14/365*J258</f>
        <v>19.586614237830318</v>
      </c>
      <c r="K269" s="55">
        <f>Assumptions!$I$14/365*K258</f>
        <v>28.52054794520545</v>
      </c>
      <c r="L269" s="55">
        <f>Assumptions!$I$14/365*L258</f>
        <v>42.210410958904063</v>
      </c>
      <c r="M269" s="55">
        <f>Assumptions!$I$14/365*M258</f>
        <v>56.561950684931453</v>
      </c>
    </row>
    <row r="270" spans="2:13" ht="15" customHeight="1" x14ac:dyDescent="0.35">
      <c r="B270" s="51" t="s">
        <v>731</v>
      </c>
      <c r="C270" s="55">
        <f>C269</f>
        <v>0</v>
      </c>
      <c r="D270" s="55">
        <f t="shared" ref="D270:M270" si="51">D269-C269</f>
        <v>2.054794520547945</v>
      </c>
      <c r="E270" s="55">
        <f t="shared" si="51"/>
        <v>0.93724202692453318</v>
      </c>
      <c r="F270" s="55">
        <f t="shared" si="51"/>
        <v>1.3647410338808883</v>
      </c>
      <c r="G270" s="55">
        <f t="shared" si="51"/>
        <v>1.9872327915874042</v>
      </c>
      <c r="H270" s="55">
        <f t="shared" si="51"/>
        <v>2.8936582618391</v>
      </c>
      <c r="I270" s="55">
        <f t="shared" si="51"/>
        <v>4.2135265539882276</v>
      </c>
      <c r="J270" s="55">
        <f t="shared" si="51"/>
        <v>6.1354190490622198</v>
      </c>
      <c r="K270" s="55">
        <f t="shared" si="51"/>
        <v>8.9339337073751324</v>
      </c>
      <c r="L270" s="55">
        <f t="shared" si="51"/>
        <v>13.689863013698613</v>
      </c>
      <c r="M270" s="55">
        <f t="shared" si="51"/>
        <v>14.35153972602739</v>
      </c>
    </row>
    <row r="271" spans="2:13" ht="15" customHeight="1" x14ac:dyDescent="0.35">
      <c r="B271" s="51" t="s">
        <v>732</v>
      </c>
      <c r="C271" s="55">
        <f t="shared" ref="C271:M271" si="52">C268-C270</f>
        <v>-15</v>
      </c>
      <c r="D271" s="55">
        <f t="shared" si="52"/>
        <v>-31.304794520547944</v>
      </c>
      <c r="E271" s="55">
        <f t="shared" si="52"/>
        <v>-32.125770952613436</v>
      </c>
      <c r="F271" s="55">
        <f t="shared" si="52"/>
        <v>-28.131656386318639</v>
      </c>
      <c r="G271" s="55">
        <f t="shared" si="52"/>
        <v>-28.273657117211506</v>
      </c>
      <c r="H271" s="55">
        <f t="shared" si="52"/>
        <v>-27.893658261839114</v>
      </c>
      <c r="I271" s="55">
        <f t="shared" si="52"/>
        <v>-26.48592308515471</v>
      </c>
      <c r="J271" s="55">
        <f t="shared" si="52"/>
        <v>-23.191958830386568</v>
      </c>
      <c r="K271" s="55">
        <f t="shared" si="52"/>
        <v>-22.608933707375137</v>
      </c>
      <c r="L271" s="55">
        <f t="shared" si="52"/>
        <v>21.232216986301353</v>
      </c>
      <c r="M271" s="55">
        <f t="shared" si="52"/>
        <v>55.153670673972549</v>
      </c>
    </row>
    <row r="272" spans="2:13" ht="15" customHeight="1" x14ac:dyDescent="0.35">
      <c r="B272" s="51" t="s">
        <v>733</v>
      </c>
      <c r="C272" s="55">
        <f t="shared" ref="C272:M272" si="53">MAX(-C271,0)</f>
        <v>15</v>
      </c>
      <c r="D272" s="55">
        <f t="shared" si="53"/>
        <v>31.304794520547944</v>
      </c>
      <c r="E272" s="55">
        <f t="shared" si="53"/>
        <v>32.125770952613436</v>
      </c>
      <c r="F272" s="55">
        <f t="shared" si="53"/>
        <v>28.131656386318639</v>
      </c>
      <c r="G272" s="55">
        <f t="shared" si="53"/>
        <v>28.273657117211506</v>
      </c>
      <c r="H272" s="55">
        <f t="shared" si="53"/>
        <v>27.893658261839114</v>
      </c>
      <c r="I272" s="55">
        <f t="shared" si="53"/>
        <v>26.48592308515471</v>
      </c>
      <c r="J272" s="55">
        <f t="shared" si="53"/>
        <v>23.191958830386568</v>
      </c>
      <c r="K272" s="55">
        <f t="shared" si="53"/>
        <v>22.608933707375137</v>
      </c>
      <c r="L272" s="55">
        <f t="shared" si="53"/>
        <v>0</v>
      </c>
      <c r="M272" s="55">
        <f t="shared" si="53"/>
        <v>0</v>
      </c>
    </row>
    <row r="273" spans="2:13" ht="15" customHeight="1" x14ac:dyDescent="0.35">
      <c r="B273" s="51" t="s">
        <v>734</v>
      </c>
      <c r="C273" s="55">
        <f>C271</f>
        <v>-15</v>
      </c>
      <c r="D273" s="55">
        <f t="shared" ref="D273:M273" si="54">C273+D271</f>
        <v>-46.304794520547944</v>
      </c>
      <c r="E273" s="55">
        <f t="shared" si="54"/>
        <v>-78.43056547316138</v>
      </c>
      <c r="F273" s="55">
        <f t="shared" si="54"/>
        <v>-106.56222185948002</v>
      </c>
      <c r="G273" s="55">
        <f t="shared" si="54"/>
        <v>-134.83587897669153</v>
      </c>
      <c r="H273" s="55">
        <f t="shared" si="54"/>
        <v>-162.72953723853064</v>
      </c>
      <c r="I273" s="55">
        <f t="shared" si="54"/>
        <v>-189.21546032368536</v>
      </c>
      <c r="J273" s="55">
        <f t="shared" si="54"/>
        <v>-212.40741915407193</v>
      </c>
      <c r="K273" s="55">
        <f t="shared" si="54"/>
        <v>-235.01635286144707</v>
      </c>
      <c r="L273" s="55">
        <f t="shared" si="54"/>
        <v>-213.78413587514572</v>
      </c>
      <c r="M273" s="55">
        <f t="shared" si="54"/>
        <v>-158.63046520117317</v>
      </c>
    </row>
    <row r="274" spans="2:13" ht="15" customHeight="1" x14ac:dyDescent="0.35">
      <c r="B274" s="51" t="s">
        <v>735</v>
      </c>
      <c r="C274" s="56">
        <f>(1+Assumptions!$I$15)^(-C$257)</f>
        <v>1</v>
      </c>
      <c r="D274" s="56">
        <f>(1+Assumptions!$I$15)^(-D$257)</f>
        <v>0.89847259658580414</v>
      </c>
      <c r="E274" s="56">
        <f>(1+Assumptions!$I$15)^(-E$257)</f>
        <v>0.80725300681563716</v>
      </c>
      <c r="F274" s="56">
        <f>(1+Assumptions!$I$15)^(-F$257)</f>
        <v>0.72529470513534333</v>
      </c>
      <c r="G274" s="56">
        <f>(1+Assumptions!$I$15)^(-G$257)</f>
        <v>0.65165741701288704</v>
      </c>
      <c r="H274" s="56">
        <f>(1+Assumptions!$I$15)^(-H$257)</f>
        <v>0.58549633154796688</v>
      </c>
      <c r="I274" s="56">
        <f>(1+Assumptions!$I$15)^(-I$257)</f>
        <v>0.52605240929736463</v>
      </c>
      <c r="J274" s="56">
        <f>(1+Assumptions!$I$15)^(-J$257)</f>
        <v>0.47264367412162139</v>
      </c>
      <c r="K274" s="56">
        <f>(1+Assumptions!$I$15)^(-K$257)</f>
        <v>0.42465738914790779</v>
      </c>
      <c r="L274" s="56">
        <f>(1+Assumptions!$I$15)^(-L$257)</f>
        <v>0.381543027087069</v>
      </c>
      <c r="M274" s="56">
        <f>(1+Assumptions!$I$15)^(-M$257)</f>
        <v>0.34280595425612664</v>
      </c>
    </row>
    <row r="275" spans="2:13" ht="15" customHeight="1" x14ac:dyDescent="0.35">
      <c r="B275" s="51" t="s">
        <v>736</v>
      </c>
      <c r="C275" s="55">
        <f>Assumptions!$I$19*(1+Assumptions!$I$16)^C$257</f>
        <v>690</v>
      </c>
      <c r="D275" s="55">
        <f>Assumptions!$I$19*(1+Assumptions!$I$16)^D$257</f>
        <v>772.80000000000007</v>
      </c>
      <c r="E275" s="55">
        <f>Assumptions!$I$19*(1+Assumptions!$I$16)^E$257</f>
        <v>865.53600000000017</v>
      </c>
      <c r="F275" s="55">
        <f>Assumptions!$I$19*(1+Assumptions!$I$16)^F$257</f>
        <v>969.40032000000031</v>
      </c>
      <c r="G275" s="55">
        <f>Assumptions!$I$19*(1+Assumptions!$I$16)^G$257</f>
        <v>1085.7283584000002</v>
      </c>
      <c r="H275" s="55">
        <f>Assumptions!$I$19*(1+Assumptions!$I$16)^H$257</f>
        <v>1216.0157614080003</v>
      </c>
      <c r="I275" s="55">
        <f>Assumptions!$I$19*(1+Assumptions!$I$16)^I$257</f>
        <v>1361.9376527769605</v>
      </c>
      <c r="J275" s="55">
        <f>Assumptions!$I$19*(1+Assumptions!$I$16)^J$257</f>
        <v>1525.3701711101958</v>
      </c>
      <c r="K275" s="55">
        <f>Assumptions!$I$19*(1+Assumptions!$I$16)^K$257</f>
        <v>1708.4145916434195</v>
      </c>
      <c r="L275" s="55">
        <f>Assumptions!$I$19*(1+Assumptions!$I$16)^L$257</f>
        <v>1913.4243426406299</v>
      </c>
      <c r="M275" s="55">
        <f>Assumptions!$I$19*(1+Assumptions!$I$16)^M$257</f>
        <v>2143.0352637575056</v>
      </c>
    </row>
    <row r="276" spans="2:13" ht="15" customHeight="1" x14ac:dyDescent="0.35">
      <c r="B276" s="51" t="s">
        <v>737</v>
      </c>
      <c r="C276" s="55">
        <f>(Assumptions!$D$30+(Assumptions!$I$18-Assumptions!$D$30)*MIN(C$257/Assumptions!$D$33,1))*C275</f>
        <v>24.150000000000002</v>
      </c>
      <c r="D276" s="55">
        <f>(Assumptions!$D$30+(Assumptions!$I$18-Assumptions!$D$30)*MIN(D$257/Assumptions!$D$33,1))*D275</f>
        <v>52.55040000000001</v>
      </c>
      <c r="E276" s="55">
        <f>(Assumptions!$D$30+(Assumptions!$I$18-Assumptions!$D$30)*MIN(E$257/Assumptions!$D$33,1))*E275</f>
        <v>87.419136000000023</v>
      </c>
      <c r="F276" s="55">
        <f>(Assumptions!$D$30+(Assumptions!$I$18-Assumptions!$D$30)*MIN(F$257/Assumptions!$D$33,1))*F275</f>
        <v>129.89964288000004</v>
      </c>
      <c r="G276" s="55">
        <f>(Assumptions!$D$30+(Assumptions!$I$18-Assumptions!$D$30)*MIN(G$257/Assumptions!$D$33,1))*G275</f>
        <v>181.31663585280003</v>
      </c>
      <c r="H276" s="55">
        <f>(Assumptions!$D$30+(Assumptions!$I$18-Assumptions!$D$30)*MIN(H$257/Assumptions!$D$33,1))*H275</f>
        <v>243.20315228160007</v>
      </c>
      <c r="I276" s="55">
        <f>(Assumptions!$D$30+(Assumptions!$I$18-Assumptions!$D$30)*MIN(I$257/Assumptions!$D$33,1))*I275</f>
        <v>272.38753055539212</v>
      </c>
      <c r="J276" s="55">
        <f>(Assumptions!$D$30+(Assumptions!$I$18-Assumptions!$D$30)*MIN(J$257/Assumptions!$D$33,1))*J275</f>
        <v>305.07403422203919</v>
      </c>
      <c r="K276" s="55">
        <f>(Assumptions!$D$30+(Assumptions!$I$18-Assumptions!$D$30)*MIN(K$257/Assumptions!$D$33,1))*K275</f>
        <v>341.68291832868391</v>
      </c>
      <c r="L276" s="55">
        <f>(Assumptions!$D$30+(Assumptions!$I$18-Assumptions!$D$30)*MIN(L$257/Assumptions!$D$33,1))*L275</f>
        <v>382.684868528126</v>
      </c>
      <c r="M276" s="55">
        <f>(Assumptions!$D$30+(Assumptions!$I$18-Assumptions!$D$30)*MIN(M$257/Assumptions!$D$33,1))*M275</f>
        <v>428.60705275150116</v>
      </c>
    </row>
    <row r="277" spans="2:13" ht="15" customHeight="1" x14ac:dyDescent="0.35">
      <c r="B277" s="51" t="s">
        <v>738</v>
      </c>
      <c r="C277" s="53">
        <f>MAX(Assumptions!$D$30,INDEX(C266:M266,$C$253+1)/INDEX(C258:M258,$C$253+1))</f>
        <v>3.5000000000000003E-2</v>
      </c>
    </row>
    <row r="279" spans="2:13" ht="15" customHeight="1" x14ac:dyDescent="0.35">
      <c r="B279" s="51" t="s">
        <v>739</v>
      </c>
      <c r="C279" s="57">
        <f>SUMPRODUCT($C$272:$M$272,$C$274:$M$274,($C$257:$M$257&lt;=$C$253)*1)</f>
        <v>158.71580663485639</v>
      </c>
    </row>
    <row r="280" spans="2:13" ht="15" customHeight="1" x14ac:dyDescent="0.35">
      <c r="B280" s="51" t="s">
        <v>740</v>
      </c>
      <c r="C280" s="57">
        <f>-MIN($C$273:$M$273)</f>
        <v>235.01635286144707</v>
      </c>
    </row>
    <row r="281" spans="2:13" ht="15" customHeight="1" x14ac:dyDescent="0.35">
      <c r="B281" s="51" t="s">
        <v>741</v>
      </c>
      <c r="C281" s="58">
        <f>Assumptions!$I$17</f>
        <v>0.11</v>
      </c>
    </row>
    <row r="282" spans="2:13" ht="15" customHeight="1" x14ac:dyDescent="0.35">
      <c r="B282" s="59" t="s">
        <v>742</v>
      </c>
      <c r="C282" s="60">
        <f>$C$279/$C$281</f>
        <v>1442.8709694077854</v>
      </c>
    </row>
    <row r="283" spans="2:13" ht="15" customHeight="1" x14ac:dyDescent="0.35">
      <c r="B283" s="51" t="s">
        <v>743</v>
      </c>
      <c r="C283" s="57">
        <f>SUMPRODUCT($C$276:$M$276-$C$268:$M$268*($C$257:$M$257&gt;$C$253),$C$274:$M$274,($C$257:$M$257&gt;=1)*1)</f>
        <v>1160.9191838963952</v>
      </c>
    </row>
    <row r="284" spans="2:13" ht="15" customHeight="1" x14ac:dyDescent="0.35">
      <c r="B284" s="51" t="s">
        <v>744</v>
      </c>
      <c r="C284" s="57">
        <f>$M$275-$M$258</f>
        <v>1454.8648637575061</v>
      </c>
    </row>
    <row r="285" spans="2:13" ht="15" customHeight="1" x14ac:dyDescent="0.35">
      <c r="B285" s="51" t="s">
        <v>745</v>
      </c>
      <c r="C285" s="57">
        <f>$C$284*Assumptions!$I$18/(Assumptions!$I$15-Assumptions!$I$25)*$M$274</f>
        <v>1583.2899616955606</v>
      </c>
    </row>
    <row r="286" spans="2:13" ht="15" customHeight="1" x14ac:dyDescent="0.35">
      <c r="B286" s="59" t="s">
        <v>746</v>
      </c>
      <c r="C286" s="60">
        <f>$C$283+$C$285</f>
        <v>2744.2091455919558</v>
      </c>
    </row>
    <row r="287" spans="2:13" ht="15" customHeight="1" x14ac:dyDescent="0.35">
      <c r="B287" s="59" t="s">
        <v>747</v>
      </c>
      <c r="C287" s="60">
        <f>$C$282+$C$286</f>
        <v>4187.0801149997415</v>
      </c>
    </row>
    <row r="288" spans="2:13" ht="15" customHeight="1" x14ac:dyDescent="0.35">
      <c r="B288" s="51" t="s">
        <v>748</v>
      </c>
      <c r="C288" s="57">
        <f>Assumptions!$I$21+Assumptions!$I$23+Assumptions!$I$20-Assumptions!$I$22</f>
        <v>527</v>
      </c>
    </row>
    <row r="289" spans="1:13" ht="15" customHeight="1" x14ac:dyDescent="0.35">
      <c r="B289" s="51" t="s">
        <v>749</v>
      </c>
      <c r="C289" s="57">
        <f>Assumptions!$D$29+$C$288</f>
        <v>3233.45</v>
      </c>
    </row>
    <row r="290" spans="1:13" ht="15" customHeight="1" x14ac:dyDescent="0.35">
      <c r="B290" s="59" t="s">
        <v>750</v>
      </c>
      <c r="C290" s="60">
        <f>$C$287-$C$288</f>
        <v>3660.0801149997415</v>
      </c>
    </row>
    <row r="291" spans="1:13" ht="15" customHeight="1" x14ac:dyDescent="0.35">
      <c r="B291" s="51" t="s">
        <v>751</v>
      </c>
      <c r="C291" s="57">
        <f>$C$290-Assumptions!$D$29</f>
        <v>953.63011499974164</v>
      </c>
    </row>
    <row r="292" spans="1:13" ht="15" customHeight="1" x14ac:dyDescent="0.35">
      <c r="B292" s="51" t="s">
        <v>752</v>
      </c>
      <c r="C292" s="57">
        <f>SUMPRODUCT($C$272:$M$272,$C$274:$M$274,($C$257:$M$257&lt;=$C$255)*1)</f>
        <v>89.463866639913192</v>
      </c>
    </row>
    <row r="293" spans="1:13" ht="15" customHeight="1" x14ac:dyDescent="0.35">
      <c r="B293" s="51" t="s">
        <v>753</v>
      </c>
      <c r="C293" s="57">
        <f>$C$279+(1/$C$281-1)*$C$292</f>
        <v>882.55981853960861</v>
      </c>
    </row>
    <row r="294" spans="1:13" ht="15" customHeight="1" x14ac:dyDescent="0.35">
      <c r="B294" s="51" t="s">
        <v>754</v>
      </c>
      <c r="C294" s="57">
        <f>$C$293+$C$286-$C$288</f>
        <v>3099.7689641315646</v>
      </c>
    </row>
    <row r="295" spans="1:13" ht="15" customHeight="1" x14ac:dyDescent="0.35">
      <c r="B295" s="51" t="s">
        <v>755</v>
      </c>
      <c r="C295" s="57">
        <f>SUMPRODUCT($C$276:$M$276,$C$274:$M$274,($C$257:$M$257&gt;=1)*1)+$M$276*(1+Assumptions!$I$25)/(Assumptions!$I$15-Assumptions!$I$25)*$M$274</f>
        <v>3646.8877553117895</v>
      </c>
    </row>
    <row r="297" spans="1:13" ht="15" customHeight="1" x14ac:dyDescent="0.35">
      <c r="A297" s="49" t="s">
        <v>794</v>
      </c>
      <c r="B297" s="50"/>
      <c r="C297" s="50"/>
      <c r="D297" s="50"/>
      <c r="E297" s="50"/>
      <c r="F297" s="50"/>
      <c r="G297" s="50"/>
      <c r="H297" s="50"/>
      <c r="I297" s="50"/>
      <c r="J297" s="50"/>
      <c r="K297" s="50"/>
      <c r="L297" s="50"/>
      <c r="M297" s="50"/>
    </row>
    <row r="298" spans="1:13" ht="15" customHeight="1" x14ac:dyDescent="0.35">
      <c r="B298" s="51" t="s">
        <v>715</v>
      </c>
      <c r="C298" s="52">
        <f>ROUND(Sensitivity!$H$17,0)</f>
        <v>9</v>
      </c>
    </row>
    <row r="299" spans="1:13" ht="15" customHeight="1" x14ac:dyDescent="0.35">
      <c r="B299" s="51" t="s">
        <v>716</v>
      </c>
      <c r="C299" s="53">
        <f>(Assumptions!$I$26/Assumptions!$I$3)^(1/($C$298-1))</f>
        <v>1.3893084694933606</v>
      </c>
    </row>
    <row r="300" spans="1:13" ht="15" customHeight="1" x14ac:dyDescent="0.35">
      <c r="B300" s="51" t="s">
        <v>717</v>
      </c>
      <c r="C300" s="52">
        <f>INT(Assumptions!$I$24)</f>
        <v>3</v>
      </c>
    </row>
    <row r="302" spans="1:13" ht="15" customHeight="1" x14ac:dyDescent="0.35">
      <c r="B302" s="54" t="s">
        <v>718</v>
      </c>
      <c r="C302" s="54">
        <v>0</v>
      </c>
      <c r="D302" s="54">
        <v>1</v>
      </c>
      <c r="E302" s="54">
        <v>2</v>
      </c>
      <c r="F302" s="54">
        <v>3</v>
      </c>
      <c r="G302" s="54">
        <v>4</v>
      </c>
      <c r="H302" s="54">
        <v>5</v>
      </c>
      <c r="I302" s="54">
        <v>6</v>
      </c>
      <c r="J302" s="54">
        <v>7</v>
      </c>
      <c r="K302" s="54">
        <v>8</v>
      </c>
      <c r="L302" s="54">
        <v>9</v>
      </c>
      <c r="M302" s="54">
        <v>10</v>
      </c>
    </row>
    <row r="303" spans="1:13" ht="15" customHeight="1" x14ac:dyDescent="0.35">
      <c r="B303" s="51" t="s">
        <v>719</v>
      </c>
      <c r="C303" s="55">
        <f>IF(C$302=0,0,IF(C$302&lt;=$C$298,Assumptions!$I$3*$C$299^(C$302-1),0))</f>
        <v>0</v>
      </c>
      <c r="D303" s="55">
        <f>IF(D$302=0,0,IF(D$302&lt;=$C$298,Assumptions!$I$3*$C$299^(D$302-1),C303*(1+IF(D$302-$C$298=1,Assumptions!$D$31,IF(D$302-$C$298=2,Assumptions!$D$32,Assumptions!$I$16)))))</f>
        <v>25</v>
      </c>
      <c r="E303" s="55">
        <f>IF(E$302=0,0,IF(E$302&lt;=$C$298,Assumptions!$I$3*$C$299^(E$302-1),D303*(1+IF(E$302-$C$298=1,Assumptions!$D$31,IF(E$302-$C$298=2,Assumptions!$D$32,Assumptions!$I$16)))))</f>
        <v>34.732711737334014</v>
      </c>
      <c r="F303" s="55">
        <f>IF(F$302=0,0,IF(F$302&lt;=$C$298,Assumptions!$I$3*$C$299^(F$302-1),E303*(1+IF(F$302-$C$298=1,Assumptions!$D$31,IF(F$302-$C$298=2,Assumptions!$D$32,Assumptions!$I$16)))))</f>
        <v>48.254450585149606</v>
      </c>
      <c r="G303" s="55">
        <f>IF(G$302=0,0,IF(G$302&lt;=$C$298,Assumptions!$I$3*$C$299^(G$302-1),F303*(1+IF(G$302-$C$298=1,Assumptions!$D$31,IF(G$302-$C$298=2,Assumptions!$D$32,Assumptions!$I$16)))))</f>
        <v>67.040316888697191</v>
      </c>
      <c r="H303" s="55">
        <f>IF(H$302=0,0,IF(H$302&lt;=$C$298,Assumptions!$I$3*$C$299^(H$302-1),G303*(1+IF(H$302-$C$298=1,Assumptions!$D$31,IF(H$302-$C$298=2,Assumptions!$D$32,Assumptions!$I$16)))))</f>
        <v>93.139680050985802</v>
      </c>
      <c r="I303" s="55">
        <f>IF(I$302=0,0,IF(I$302&lt;=$C$298,Assumptions!$I$3*$C$299^(I$302-1),H303*(1+IF(I$302-$C$298=1,Assumptions!$D$31,IF(I$302-$C$298=2,Assumptions!$D$32,Assumptions!$I$16)))))</f>
        <v>129.39974634073639</v>
      </c>
      <c r="J303" s="55">
        <f>IF(J$302=0,0,IF(J$302&lt;=$C$298,Assumptions!$I$3*$C$299^(J$302-1),I303*(1+IF(J$302-$C$298=1,Assumptions!$D$31,IF(J$302-$C$298=2,Assumptions!$D$32,Assumptions!$I$16)))))</f>
        <v>179.77616354147756</v>
      </c>
      <c r="K303" s="55">
        <f>IF(K$302=0,0,IF(K$302&lt;=$C$298,Assumptions!$I$3*$C$299^(K$302-1),J303*(1+IF(K$302-$C$298=1,Assumptions!$D$31,IF(K$302-$C$298=2,Assumptions!$D$32,Assumptions!$I$16)))))</f>
        <v>249.76454662119826</v>
      </c>
      <c r="L303" s="55">
        <f>IF(L$302=0,0,IF(L$302&lt;=$C$298,Assumptions!$I$3*$C$299^(L$302-1),K303*(1+IF(L$302-$C$298=1,Assumptions!$D$31,IF(L$302-$C$298=2,Assumptions!$D$32,Assumptions!$I$16)))))</f>
        <v>347.00000000000017</v>
      </c>
      <c r="M303" s="55">
        <f>IF(M$302=0,0,IF(M$302&lt;=$C$298,Assumptions!$I$3*$C$299^(M$302-1),L303*(1+IF(M$302-$C$298=1,Assumptions!$D$31,IF(M$302-$C$298=2,Assumptions!$D$32,Assumptions!$I$16)))))</f>
        <v>513.56000000000029</v>
      </c>
    </row>
    <row r="304" spans="1:13" ht="15" customHeight="1" x14ac:dyDescent="0.35">
      <c r="B304" s="51" t="s">
        <v>720</v>
      </c>
      <c r="C304" s="53">
        <f>IF(C$302=0,0,IF(C$302&lt;=$C$298,IF(C$302&lt;=2,Assumptions!$I$4,Assumptions!$I$4+(C$302-2)/MAX($C$298-2,1)*(Assumptions!$I$5-Assumptions!$I$4)),Assumptions!$I$5))</f>
        <v>0</v>
      </c>
      <c r="D304" s="53">
        <f>IF(D$302=0,0,IF(D$302&lt;=$C$298,IF(D$302&lt;=2,Assumptions!$I$4,Assumptions!$I$4+(D$302-2)/MAX($C$298-2,1)*(Assumptions!$I$5-Assumptions!$I$4)),Assumptions!$I$5))</f>
        <v>0.6</v>
      </c>
      <c r="E304" s="53">
        <f>IF(E$302=0,0,IF(E$302&lt;=$C$298,IF(E$302&lt;=2,Assumptions!$I$4,Assumptions!$I$4+(E$302-2)/MAX($C$298-2,1)*(Assumptions!$I$5-Assumptions!$I$4)),Assumptions!$I$5))</f>
        <v>0.6</v>
      </c>
      <c r="F304" s="53">
        <f>IF(F$302=0,0,IF(F$302&lt;=$C$298,IF(F$302&lt;=2,Assumptions!$I$4,Assumptions!$I$4+(F$302-2)/MAX($C$298-2,1)*(Assumptions!$I$5-Assumptions!$I$4)),Assumptions!$I$5))</f>
        <v>0.61428571428571421</v>
      </c>
      <c r="G304" s="53">
        <f>IF(G$302=0,0,IF(G$302&lt;=$C$298,IF(G$302&lt;=2,Assumptions!$I$4,Assumptions!$I$4+(G$302-2)/MAX($C$298-2,1)*(Assumptions!$I$5-Assumptions!$I$4)),Assumptions!$I$5))</f>
        <v>0.62857142857142856</v>
      </c>
      <c r="H304" s="53">
        <f>IF(H$302=0,0,IF(H$302&lt;=$C$298,IF(H$302&lt;=2,Assumptions!$I$4,Assumptions!$I$4+(H$302-2)/MAX($C$298-2,1)*(Assumptions!$I$5-Assumptions!$I$4)),Assumptions!$I$5))</f>
        <v>0.64285714285714279</v>
      </c>
      <c r="I304" s="53">
        <f>IF(I$302=0,0,IF(I$302&lt;=$C$298,IF(I$302&lt;=2,Assumptions!$I$4,Assumptions!$I$4+(I$302-2)/MAX($C$298-2,1)*(Assumptions!$I$5-Assumptions!$I$4)),Assumptions!$I$5))</f>
        <v>0.65714285714285714</v>
      </c>
      <c r="J304" s="53">
        <f>IF(J$302=0,0,IF(J$302&lt;=$C$298,IF(J$302&lt;=2,Assumptions!$I$4,Assumptions!$I$4+(J$302-2)/MAX($C$298-2,1)*(Assumptions!$I$5-Assumptions!$I$4)),Assumptions!$I$5))</f>
        <v>0.67142857142857137</v>
      </c>
      <c r="K304" s="53">
        <f>IF(K$302=0,0,IF(K$302&lt;=$C$298,IF(K$302&lt;=2,Assumptions!$I$4,Assumptions!$I$4+(K$302-2)/MAX($C$298-2,1)*(Assumptions!$I$5-Assumptions!$I$4)),Assumptions!$I$5))</f>
        <v>0.68571428571428572</v>
      </c>
      <c r="L304" s="53">
        <f>IF(L$302=0,0,IF(L$302&lt;=$C$298,IF(L$302&lt;=2,Assumptions!$I$4,Assumptions!$I$4+(L$302-2)/MAX($C$298-2,1)*(Assumptions!$I$5-Assumptions!$I$4)),Assumptions!$I$5))</f>
        <v>0.7</v>
      </c>
      <c r="M304" s="53">
        <f>IF(M$302=0,0,IF(M$302&lt;=$C$298,IF(M$302&lt;=2,Assumptions!$I$4,Assumptions!$I$4+(M$302-2)/MAX($C$298-2,1)*(Assumptions!$I$5-Assumptions!$I$4)),Assumptions!$I$5))</f>
        <v>0.7</v>
      </c>
    </row>
    <row r="305" spans="2:13" ht="15" customHeight="1" x14ac:dyDescent="0.35">
      <c r="B305" s="51" t="s">
        <v>721</v>
      </c>
      <c r="C305" s="53">
        <f>IF(C$302=0,0,IF(C$302&lt;=$C$298,IF(C$302&lt;=2,Assumptions!$I$6,Assumptions!$I$7),Assumptions!$I$8))</f>
        <v>0</v>
      </c>
      <c r="D305" s="53">
        <f>IF(D$302=0,0,IF(D$302&lt;=$C$298,IF(D$302&lt;=2,Assumptions!$I$6,Assumptions!$I$7),Assumptions!$I$8))</f>
        <v>0.5</v>
      </c>
      <c r="E305" s="53">
        <f>IF(E$302=0,0,IF(E$302&lt;=$C$298,IF(E$302&lt;=2,Assumptions!$I$6,Assumptions!$I$7),Assumptions!$I$8))</f>
        <v>0.5</v>
      </c>
      <c r="F305" s="53">
        <f>IF(F$302=0,0,IF(F$302&lt;=$C$298,IF(F$302&lt;=2,Assumptions!$I$6,Assumptions!$I$7),Assumptions!$I$8))</f>
        <v>0.38</v>
      </c>
      <c r="G305" s="53">
        <f>IF(G$302=0,0,IF(G$302&lt;=$C$298,IF(G$302&lt;=2,Assumptions!$I$6,Assumptions!$I$7),Assumptions!$I$8))</f>
        <v>0.38</v>
      </c>
      <c r="H305" s="53">
        <f>IF(H$302=0,0,IF(H$302&lt;=$C$298,IF(H$302&lt;=2,Assumptions!$I$6,Assumptions!$I$7),Assumptions!$I$8))</f>
        <v>0.38</v>
      </c>
      <c r="I305" s="53">
        <f>IF(I$302=0,0,IF(I$302&lt;=$C$298,IF(I$302&lt;=2,Assumptions!$I$6,Assumptions!$I$7),Assumptions!$I$8))</f>
        <v>0.38</v>
      </c>
      <c r="J305" s="53">
        <f>IF(J$302=0,0,IF(J$302&lt;=$C$298,IF(J$302&lt;=2,Assumptions!$I$6,Assumptions!$I$7),Assumptions!$I$8))</f>
        <v>0.38</v>
      </c>
      <c r="K305" s="53">
        <f>IF(K$302=0,0,IF(K$302&lt;=$C$298,IF(K$302&lt;=2,Assumptions!$I$6,Assumptions!$I$7),Assumptions!$I$8))</f>
        <v>0.38</v>
      </c>
      <c r="L305" s="53">
        <f>IF(L$302=0,0,IF(L$302&lt;=$C$298,IF(L$302&lt;=2,Assumptions!$I$6,Assumptions!$I$7),Assumptions!$I$8))</f>
        <v>0.38</v>
      </c>
      <c r="M305" s="53">
        <f>IF(M$302=0,0,IF(M$302&lt;=$C$298,IF(M$302&lt;=2,Assumptions!$I$6,Assumptions!$I$7),Assumptions!$I$8))</f>
        <v>0.3</v>
      </c>
    </row>
    <row r="306" spans="2:13" ht="15" customHeight="1" x14ac:dyDescent="0.35">
      <c r="B306" s="51" t="s">
        <v>722</v>
      </c>
      <c r="C306" s="55">
        <f t="shared" ref="C306:M306" si="55">C304*C303</f>
        <v>0</v>
      </c>
      <c r="D306" s="55">
        <f t="shared" si="55"/>
        <v>15</v>
      </c>
      <c r="E306" s="55">
        <f t="shared" si="55"/>
        <v>20.839627042400409</v>
      </c>
      <c r="F306" s="55">
        <f t="shared" si="55"/>
        <v>29.642019645163327</v>
      </c>
      <c r="G306" s="55">
        <f t="shared" si="55"/>
        <v>42.139627758609663</v>
      </c>
      <c r="H306" s="55">
        <f t="shared" si="55"/>
        <v>59.875508604205152</v>
      </c>
      <c r="I306" s="55">
        <f t="shared" si="55"/>
        <v>85.034119023912481</v>
      </c>
      <c r="J306" s="55">
        <f t="shared" si="55"/>
        <v>120.7068526635635</v>
      </c>
      <c r="K306" s="55">
        <f t="shared" si="55"/>
        <v>171.26711768310739</v>
      </c>
      <c r="L306" s="55">
        <f t="shared" si="55"/>
        <v>242.90000000000009</v>
      </c>
      <c r="M306" s="55">
        <f t="shared" si="55"/>
        <v>359.49200000000019</v>
      </c>
    </row>
    <row r="307" spans="2:13" ht="15" customHeight="1" x14ac:dyDescent="0.35">
      <c r="B307" s="51" t="s">
        <v>723</v>
      </c>
      <c r="C307" s="55">
        <f t="shared" ref="C307:M307" si="56">C305*C303</f>
        <v>0</v>
      </c>
      <c r="D307" s="55">
        <f t="shared" si="56"/>
        <v>12.5</v>
      </c>
      <c r="E307" s="55">
        <f t="shared" si="56"/>
        <v>17.366355868667007</v>
      </c>
      <c r="F307" s="55">
        <f t="shared" si="56"/>
        <v>18.336691222356851</v>
      </c>
      <c r="G307" s="55">
        <f t="shared" si="56"/>
        <v>25.475320417704932</v>
      </c>
      <c r="H307" s="55">
        <f t="shared" si="56"/>
        <v>35.393078419374604</v>
      </c>
      <c r="I307" s="55">
        <f t="shared" si="56"/>
        <v>49.171903609479827</v>
      </c>
      <c r="J307" s="55">
        <f t="shared" si="56"/>
        <v>68.314942145761478</v>
      </c>
      <c r="K307" s="55">
        <f t="shared" si="56"/>
        <v>94.910527716055341</v>
      </c>
      <c r="L307" s="55">
        <f t="shared" si="56"/>
        <v>131.86000000000007</v>
      </c>
      <c r="M307" s="55">
        <f t="shared" si="56"/>
        <v>154.06800000000007</v>
      </c>
    </row>
    <row r="308" spans="2:13" ht="15" customHeight="1" x14ac:dyDescent="0.35">
      <c r="B308" s="51" t="s">
        <v>724</v>
      </c>
      <c r="C308" s="55">
        <f>Assumptions!$I$12+Assumptions!$I$13*C303</f>
        <v>5</v>
      </c>
      <c r="D308" s="55">
        <f>Assumptions!$I$12+Assumptions!$I$13*D303</f>
        <v>5.5</v>
      </c>
      <c r="E308" s="55">
        <f>Assumptions!$I$12+Assumptions!$I$13*E303</f>
        <v>5.6946542347466806</v>
      </c>
      <c r="F308" s="55">
        <f>Assumptions!$I$12+Assumptions!$I$13*F303</f>
        <v>5.9650890117029922</v>
      </c>
      <c r="G308" s="55">
        <f>Assumptions!$I$12+Assumptions!$I$13*G303</f>
        <v>6.3408063377739436</v>
      </c>
      <c r="H308" s="55">
        <f>Assumptions!$I$12+Assumptions!$I$13*H303</f>
        <v>6.8627936010197157</v>
      </c>
      <c r="I308" s="55">
        <f>Assumptions!$I$12+Assumptions!$I$13*I303</f>
        <v>7.5879949268147282</v>
      </c>
      <c r="J308" s="55">
        <f>Assumptions!$I$12+Assumptions!$I$13*J303</f>
        <v>8.5955232708295508</v>
      </c>
      <c r="K308" s="55">
        <f>Assumptions!$I$12+Assumptions!$I$13*K303</f>
        <v>9.9952909324239663</v>
      </c>
      <c r="L308" s="55">
        <f>Assumptions!$I$12+Assumptions!$I$13*L303</f>
        <v>11.940000000000005</v>
      </c>
      <c r="M308" s="55">
        <f>Assumptions!$I$12+Assumptions!$I$13*M303</f>
        <v>15.271200000000006</v>
      </c>
    </row>
    <row r="309" spans="2:13" ht="15" customHeight="1" x14ac:dyDescent="0.35">
      <c r="B309" s="51" t="s">
        <v>725</v>
      </c>
      <c r="C309" s="55">
        <f>IF(C$302=0,0.5*Assumptions!$I$10,MAX(Assumptions!$I$10,Assumptions!$I$11*C303))</f>
        <v>10</v>
      </c>
      <c r="D309" s="55">
        <f>IF(D$302=0,0.5*Assumptions!$I$10,MAX(Assumptions!$I$10,Assumptions!$I$11*D303))</f>
        <v>20</v>
      </c>
      <c r="E309" s="55">
        <f>IF(E$302=0,0.5*Assumptions!$I$10,MAX(Assumptions!$I$10,Assumptions!$I$11*E303))</f>
        <v>20</v>
      </c>
      <c r="F309" s="55">
        <f>IF(F$302=0,0.5*Assumptions!$I$10,MAX(Assumptions!$I$10,Assumptions!$I$11*F303))</f>
        <v>20</v>
      </c>
      <c r="G309" s="55">
        <f>IF(G$302=0,0.5*Assumptions!$I$10,MAX(Assumptions!$I$10,Assumptions!$I$11*G303))</f>
        <v>20</v>
      </c>
      <c r="H309" s="55">
        <f>IF(H$302=0,0.5*Assumptions!$I$10,MAX(Assumptions!$I$10,Assumptions!$I$11*H303))</f>
        <v>20</v>
      </c>
      <c r="I309" s="55">
        <f>IF(I$302=0,0.5*Assumptions!$I$10,MAX(Assumptions!$I$10,Assumptions!$I$11*I303))</f>
        <v>20</v>
      </c>
      <c r="J309" s="55">
        <f>IF(J$302=0,0.5*Assumptions!$I$10,MAX(Assumptions!$I$10,Assumptions!$I$11*J303))</f>
        <v>20</v>
      </c>
      <c r="K309" s="55">
        <f>IF(K$302=0,0.5*Assumptions!$I$10,MAX(Assumptions!$I$10,Assumptions!$I$11*K303))</f>
        <v>20</v>
      </c>
      <c r="L309" s="55">
        <f>IF(L$302=0,0.5*Assumptions!$I$10,MAX(Assumptions!$I$10,Assumptions!$I$11*L303))</f>
        <v>26.025000000000013</v>
      </c>
      <c r="M309" s="55">
        <f>IF(M$302=0,0.5*Assumptions!$I$10,MAX(Assumptions!$I$10,Assumptions!$I$11*M303))</f>
        <v>38.517000000000017</v>
      </c>
    </row>
    <row r="310" spans="2:13" ht="15" customHeight="1" x14ac:dyDescent="0.35">
      <c r="B310" s="51" t="s">
        <v>726</v>
      </c>
      <c r="C310" s="55">
        <f>IF(C$302=0,0,Assumptions!$I$9*C303)</f>
        <v>0</v>
      </c>
      <c r="D310" s="55">
        <f>IF(D$302=0,0,Assumptions!$I$9*D303)</f>
        <v>6.25</v>
      </c>
      <c r="E310" s="55">
        <f>IF(E$302=0,0,Assumptions!$I$9*E303)</f>
        <v>8.6831779343335036</v>
      </c>
      <c r="F310" s="55">
        <f>IF(F$302=0,0,Assumptions!$I$9*F303)</f>
        <v>12.063612646287401</v>
      </c>
      <c r="G310" s="55">
        <f>IF(G$302=0,0,Assumptions!$I$9*G303)</f>
        <v>16.760079222174298</v>
      </c>
      <c r="H310" s="55">
        <f>IF(H$302=0,0,Assumptions!$I$9*H303)</f>
        <v>23.284920012746451</v>
      </c>
      <c r="I310" s="55">
        <f>IF(I$302=0,0,Assumptions!$I$9*I303)</f>
        <v>32.349936585184096</v>
      </c>
      <c r="J310" s="55">
        <f>IF(J$302=0,0,Assumptions!$I$9*J303)</f>
        <v>44.94404088536939</v>
      </c>
      <c r="K310" s="55">
        <f>IF(K$302=0,0,Assumptions!$I$9*K303)</f>
        <v>62.441136655299566</v>
      </c>
      <c r="L310" s="55">
        <f>IF(L$302=0,0,Assumptions!$I$9*L303)</f>
        <v>86.750000000000043</v>
      </c>
      <c r="M310" s="55">
        <f>IF(M$302=0,0,Assumptions!$I$9*M303)</f>
        <v>128.39000000000007</v>
      </c>
    </row>
    <row r="311" spans="2:13" ht="15" customHeight="1" x14ac:dyDescent="0.35">
      <c r="B311" s="51" t="s">
        <v>727</v>
      </c>
      <c r="C311" s="55">
        <f t="shared" ref="C311:M311" si="57">C306-C307-C310-C309-C308</f>
        <v>-15</v>
      </c>
      <c r="D311" s="55">
        <f t="shared" si="57"/>
        <v>-29.25</v>
      </c>
      <c r="E311" s="55">
        <f t="shared" si="57"/>
        <v>-30.904560995346785</v>
      </c>
      <c r="F311" s="55">
        <f t="shared" si="57"/>
        <v>-26.723373235183921</v>
      </c>
      <c r="G311" s="55">
        <f t="shared" si="57"/>
        <v>-26.436578219043511</v>
      </c>
      <c r="H311" s="55">
        <f t="shared" si="57"/>
        <v>-25.665283428935616</v>
      </c>
      <c r="I311" s="55">
        <f t="shared" si="57"/>
        <v>-24.075716097566172</v>
      </c>
      <c r="J311" s="55">
        <f t="shared" si="57"/>
        <v>-21.147653638396925</v>
      </c>
      <c r="K311" s="55">
        <f t="shared" si="57"/>
        <v>-16.079837620671487</v>
      </c>
      <c r="L311" s="55">
        <f t="shared" si="57"/>
        <v>-13.67500000000004</v>
      </c>
      <c r="M311" s="55">
        <f t="shared" si="57"/>
        <v>23.245800000000024</v>
      </c>
    </row>
    <row r="312" spans="2:13" ht="15" customHeight="1" x14ac:dyDescent="0.35">
      <c r="B312" s="51" t="s">
        <v>728</v>
      </c>
      <c r="C312" s="55">
        <f t="shared" ref="C312:M312" si="58">IF(C$302&lt;=$C$298,C310,C306-C307-C309-C308-C313)</f>
        <v>0</v>
      </c>
      <c r="D312" s="55">
        <f t="shared" si="58"/>
        <v>6.25</v>
      </c>
      <c r="E312" s="55">
        <f t="shared" si="58"/>
        <v>8.6831779343335036</v>
      </c>
      <c r="F312" s="55">
        <f t="shared" si="58"/>
        <v>12.063612646287401</v>
      </c>
      <c r="G312" s="55">
        <f t="shared" si="58"/>
        <v>16.760079222174298</v>
      </c>
      <c r="H312" s="55">
        <f t="shared" si="58"/>
        <v>23.284920012746451</v>
      </c>
      <c r="I312" s="55">
        <f t="shared" si="58"/>
        <v>32.349936585184096</v>
      </c>
      <c r="J312" s="55">
        <f t="shared" si="58"/>
        <v>44.94404088536939</v>
      </c>
      <c r="K312" s="55">
        <f t="shared" si="58"/>
        <v>62.441136655299566</v>
      </c>
      <c r="L312" s="55">
        <f t="shared" si="58"/>
        <v>86.750000000000043</v>
      </c>
      <c r="M312" s="55">
        <f t="shared" si="58"/>
        <v>116.71372000000008</v>
      </c>
    </row>
    <row r="313" spans="2:13" ht="15" customHeight="1" x14ac:dyDescent="0.35">
      <c r="B313" s="51" t="s">
        <v>729</v>
      </c>
      <c r="C313" s="55">
        <f>IF(C$302&lt;=$C$298,C311,($C$322+(Assumptions!$I$18-$C$322)*MIN(MAX(C$302-$C$298,0)/Assumptions!$D$33,1))*C303)</f>
        <v>-15</v>
      </c>
      <c r="D313" s="55">
        <f>IF(D$302&lt;=$C$298,D311,($C$322+(Assumptions!$I$18-$C$322)*MIN(MAX(D$302-$C$298,0)/Assumptions!$D$33,1))*D303)</f>
        <v>-29.25</v>
      </c>
      <c r="E313" s="55">
        <f>IF(E$302&lt;=$C$298,E311,($C$322+(Assumptions!$I$18-$C$322)*MIN(MAX(E$302-$C$298,0)/Assumptions!$D$33,1))*E303)</f>
        <v>-30.904560995346785</v>
      </c>
      <c r="F313" s="55">
        <f>IF(F$302&lt;=$C$298,F311,($C$322+(Assumptions!$I$18-$C$322)*MIN(MAX(F$302-$C$298,0)/Assumptions!$D$33,1))*F303)</f>
        <v>-26.723373235183921</v>
      </c>
      <c r="G313" s="55">
        <f>IF(G$302&lt;=$C$298,G311,($C$322+(Assumptions!$I$18-$C$322)*MIN(MAX(G$302-$C$298,0)/Assumptions!$D$33,1))*G303)</f>
        <v>-26.436578219043511</v>
      </c>
      <c r="H313" s="55">
        <f>IF(H$302&lt;=$C$298,H311,($C$322+(Assumptions!$I$18-$C$322)*MIN(MAX(H$302-$C$298,0)/Assumptions!$D$33,1))*H303)</f>
        <v>-25.665283428935616</v>
      </c>
      <c r="I313" s="55">
        <f>IF(I$302&lt;=$C$298,I311,($C$322+(Assumptions!$I$18-$C$322)*MIN(MAX(I$302-$C$298,0)/Assumptions!$D$33,1))*I303)</f>
        <v>-24.075716097566172</v>
      </c>
      <c r="J313" s="55">
        <f>IF(J$302&lt;=$C$298,J311,($C$322+(Assumptions!$I$18-$C$322)*MIN(MAX(J$302-$C$298,0)/Assumptions!$D$33,1))*J303)</f>
        <v>-21.147653638396925</v>
      </c>
      <c r="K313" s="55">
        <f>IF(K$302&lt;=$C$298,K311,($C$322+(Assumptions!$I$18-$C$322)*MIN(MAX(K$302-$C$298,0)/Assumptions!$D$33,1))*K303)</f>
        <v>-16.079837620671487</v>
      </c>
      <c r="L313" s="55">
        <f>IF(L$302&lt;=$C$298,L311,($C$322+(Assumptions!$I$18-$C$322)*MIN(MAX(L$302-$C$298,0)/Assumptions!$D$33,1))*L303)</f>
        <v>-13.67500000000004</v>
      </c>
      <c r="M313" s="55">
        <f>IF(M$302&lt;=$C$298,M311,($C$322+(Assumptions!$I$18-$C$322)*MIN(MAX(M$302-$C$298,0)/Assumptions!$D$33,1))*M303)</f>
        <v>34.922080000000022</v>
      </c>
    </row>
    <row r="314" spans="2:13" ht="15" customHeight="1" x14ac:dyDescent="0.35">
      <c r="B314" s="51" t="s">
        <v>730</v>
      </c>
      <c r="C314" s="55">
        <f>Assumptions!$I$14/365*C303</f>
        <v>0</v>
      </c>
      <c r="D314" s="55">
        <f>Assumptions!$I$14/365*D303</f>
        <v>2.054794520547945</v>
      </c>
      <c r="E314" s="55">
        <f>Assumptions!$I$14/365*E303</f>
        <v>2.8547434304658093</v>
      </c>
      <c r="F314" s="55">
        <f>Assumptions!$I$14/365*F303</f>
        <v>3.9661192261766796</v>
      </c>
      <c r="G314" s="55">
        <f>Assumptions!$I$14/365*G303</f>
        <v>5.5101630319477142</v>
      </c>
      <c r="H314" s="55">
        <f>Assumptions!$I$14/365*H303</f>
        <v>7.6553161685741751</v>
      </c>
      <c r="I314" s="55">
        <f>Assumptions!$I$14/365*I303</f>
        <v>10.635595589649565</v>
      </c>
      <c r="J314" s="55">
        <f>Assumptions!$I$14/365*J303</f>
        <v>14.776123030806374</v>
      </c>
      <c r="K314" s="55">
        <f>Assumptions!$I$14/365*K303</f>
        <v>20.528592872975199</v>
      </c>
      <c r="L314" s="55">
        <f>Assumptions!$I$14/365*L303</f>
        <v>28.520547945205493</v>
      </c>
      <c r="M314" s="55">
        <f>Assumptions!$I$14/365*M303</f>
        <v>42.210410958904134</v>
      </c>
    </row>
    <row r="315" spans="2:13" ht="15" customHeight="1" x14ac:dyDescent="0.35">
      <c r="B315" s="51" t="s">
        <v>731</v>
      </c>
      <c r="C315" s="55">
        <f>C314</f>
        <v>0</v>
      </c>
      <c r="D315" s="55">
        <f t="shared" ref="D315:M315" si="59">D314-C314</f>
        <v>2.054794520547945</v>
      </c>
      <c r="E315" s="55">
        <f t="shared" si="59"/>
        <v>0.79994890991786427</v>
      </c>
      <c r="F315" s="55">
        <f t="shared" si="59"/>
        <v>1.1113757957108703</v>
      </c>
      <c r="G315" s="55">
        <f t="shared" si="59"/>
        <v>1.5440438057710346</v>
      </c>
      <c r="H315" s="55">
        <f t="shared" si="59"/>
        <v>2.1451531366264609</v>
      </c>
      <c r="I315" s="55">
        <f t="shared" si="59"/>
        <v>2.98027942107539</v>
      </c>
      <c r="J315" s="55">
        <f t="shared" si="59"/>
        <v>4.1405274411568094</v>
      </c>
      <c r="K315" s="55">
        <f t="shared" si="59"/>
        <v>5.752469842168825</v>
      </c>
      <c r="L315" s="55">
        <f t="shared" si="59"/>
        <v>7.9919550722302937</v>
      </c>
      <c r="M315" s="55">
        <f t="shared" si="59"/>
        <v>13.689863013698641</v>
      </c>
    </row>
    <row r="316" spans="2:13" ht="15" customHeight="1" x14ac:dyDescent="0.35">
      <c r="B316" s="51" t="s">
        <v>732</v>
      </c>
      <c r="C316" s="55">
        <f t="shared" ref="C316:M316" si="60">C313-C315</f>
        <v>-15</v>
      </c>
      <c r="D316" s="55">
        <f t="shared" si="60"/>
        <v>-31.304794520547944</v>
      </c>
      <c r="E316" s="55">
        <f t="shared" si="60"/>
        <v>-31.704509905264651</v>
      </c>
      <c r="F316" s="55">
        <f t="shared" si="60"/>
        <v>-27.834749030894791</v>
      </c>
      <c r="G316" s="55">
        <f t="shared" si="60"/>
        <v>-27.980622024814547</v>
      </c>
      <c r="H316" s="55">
        <f t="shared" si="60"/>
        <v>-27.810436565562078</v>
      </c>
      <c r="I316" s="55">
        <f t="shared" si="60"/>
        <v>-27.055995518641563</v>
      </c>
      <c r="J316" s="55">
        <f t="shared" si="60"/>
        <v>-25.288181079553734</v>
      </c>
      <c r="K316" s="55">
        <f t="shared" si="60"/>
        <v>-21.832307462840312</v>
      </c>
      <c r="L316" s="55">
        <f t="shared" si="60"/>
        <v>-21.666955072230333</v>
      </c>
      <c r="M316" s="55">
        <f t="shared" si="60"/>
        <v>21.232216986301381</v>
      </c>
    </row>
    <row r="317" spans="2:13" ht="15" customHeight="1" x14ac:dyDescent="0.35">
      <c r="B317" s="51" t="s">
        <v>733</v>
      </c>
      <c r="C317" s="55">
        <f t="shared" ref="C317:M317" si="61">MAX(-C316,0)</f>
        <v>15</v>
      </c>
      <c r="D317" s="55">
        <f t="shared" si="61"/>
        <v>31.304794520547944</v>
      </c>
      <c r="E317" s="55">
        <f t="shared" si="61"/>
        <v>31.704509905264651</v>
      </c>
      <c r="F317" s="55">
        <f t="shared" si="61"/>
        <v>27.834749030894791</v>
      </c>
      <c r="G317" s="55">
        <f t="shared" si="61"/>
        <v>27.980622024814547</v>
      </c>
      <c r="H317" s="55">
        <f t="shared" si="61"/>
        <v>27.810436565562078</v>
      </c>
      <c r="I317" s="55">
        <f t="shared" si="61"/>
        <v>27.055995518641563</v>
      </c>
      <c r="J317" s="55">
        <f t="shared" si="61"/>
        <v>25.288181079553734</v>
      </c>
      <c r="K317" s="55">
        <f t="shared" si="61"/>
        <v>21.832307462840312</v>
      </c>
      <c r="L317" s="55">
        <f t="shared" si="61"/>
        <v>21.666955072230333</v>
      </c>
      <c r="M317" s="55">
        <f t="shared" si="61"/>
        <v>0</v>
      </c>
    </row>
    <row r="318" spans="2:13" ht="15" customHeight="1" x14ac:dyDescent="0.35">
      <c r="B318" s="51" t="s">
        <v>734</v>
      </c>
      <c r="C318" s="55">
        <f>C316</f>
        <v>-15</v>
      </c>
      <c r="D318" s="55">
        <f t="shared" ref="D318:M318" si="62">C318+D316</f>
        <v>-46.304794520547944</v>
      </c>
      <c r="E318" s="55">
        <f t="shared" si="62"/>
        <v>-78.009304425812587</v>
      </c>
      <c r="F318" s="55">
        <f t="shared" si="62"/>
        <v>-105.84405345670737</v>
      </c>
      <c r="G318" s="55">
        <f t="shared" si="62"/>
        <v>-133.82467548152192</v>
      </c>
      <c r="H318" s="55">
        <f t="shared" si="62"/>
        <v>-161.63511204708399</v>
      </c>
      <c r="I318" s="55">
        <f t="shared" si="62"/>
        <v>-188.69110756572556</v>
      </c>
      <c r="J318" s="55">
        <f t="shared" si="62"/>
        <v>-213.9792886452793</v>
      </c>
      <c r="K318" s="55">
        <f t="shared" si="62"/>
        <v>-235.8115961081196</v>
      </c>
      <c r="L318" s="55">
        <f t="shared" si="62"/>
        <v>-257.47855118034994</v>
      </c>
      <c r="M318" s="55">
        <f t="shared" si="62"/>
        <v>-236.24633419404856</v>
      </c>
    </row>
    <row r="319" spans="2:13" ht="15" customHeight="1" x14ac:dyDescent="0.35">
      <c r="B319" s="51" t="s">
        <v>735</v>
      </c>
      <c r="C319" s="56">
        <f>(1+Assumptions!$I$15)^(-C$302)</f>
        <v>1</v>
      </c>
      <c r="D319" s="56">
        <f>(1+Assumptions!$I$15)^(-D$302)</f>
        <v>0.89847259658580414</v>
      </c>
      <c r="E319" s="56">
        <f>(1+Assumptions!$I$15)^(-E$302)</f>
        <v>0.80725300681563716</v>
      </c>
      <c r="F319" s="56">
        <f>(1+Assumptions!$I$15)^(-F$302)</f>
        <v>0.72529470513534333</v>
      </c>
      <c r="G319" s="56">
        <f>(1+Assumptions!$I$15)^(-G$302)</f>
        <v>0.65165741701288704</v>
      </c>
      <c r="H319" s="56">
        <f>(1+Assumptions!$I$15)^(-H$302)</f>
        <v>0.58549633154796688</v>
      </c>
      <c r="I319" s="56">
        <f>(1+Assumptions!$I$15)^(-I$302)</f>
        <v>0.52605240929736463</v>
      </c>
      <c r="J319" s="56">
        <f>(1+Assumptions!$I$15)^(-J$302)</f>
        <v>0.47264367412162139</v>
      </c>
      <c r="K319" s="56">
        <f>(1+Assumptions!$I$15)^(-K$302)</f>
        <v>0.42465738914790779</v>
      </c>
      <c r="L319" s="56">
        <f>(1+Assumptions!$I$15)^(-L$302)</f>
        <v>0.381543027087069</v>
      </c>
      <c r="M319" s="56">
        <f>(1+Assumptions!$I$15)^(-M$302)</f>
        <v>0.34280595425612664</v>
      </c>
    </row>
    <row r="320" spans="2:13" ht="15" customHeight="1" x14ac:dyDescent="0.35">
      <c r="B320" s="51" t="s">
        <v>736</v>
      </c>
      <c r="C320" s="55">
        <f>Assumptions!$I$19*(1+Assumptions!$I$16)^C$302</f>
        <v>690</v>
      </c>
      <c r="D320" s="55">
        <f>Assumptions!$I$19*(1+Assumptions!$I$16)^D$302</f>
        <v>772.80000000000007</v>
      </c>
      <c r="E320" s="55">
        <f>Assumptions!$I$19*(1+Assumptions!$I$16)^E$302</f>
        <v>865.53600000000017</v>
      </c>
      <c r="F320" s="55">
        <f>Assumptions!$I$19*(1+Assumptions!$I$16)^F$302</f>
        <v>969.40032000000031</v>
      </c>
      <c r="G320" s="55">
        <f>Assumptions!$I$19*(1+Assumptions!$I$16)^G$302</f>
        <v>1085.7283584000002</v>
      </c>
      <c r="H320" s="55">
        <f>Assumptions!$I$19*(1+Assumptions!$I$16)^H$302</f>
        <v>1216.0157614080003</v>
      </c>
      <c r="I320" s="55">
        <f>Assumptions!$I$19*(1+Assumptions!$I$16)^I$302</f>
        <v>1361.9376527769605</v>
      </c>
      <c r="J320" s="55">
        <f>Assumptions!$I$19*(1+Assumptions!$I$16)^J$302</f>
        <v>1525.3701711101958</v>
      </c>
      <c r="K320" s="55">
        <f>Assumptions!$I$19*(1+Assumptions!$I$16)^K$302</f>
        <v>1708.4145916434195</v>
      </c>
      <c r="L320" s="55">
        <f>Assumptions!$I$19*(1+Assumptions!$I$16)^L$302</f>
        <v>1913.4243426406299</v>
      </c>
      <c r="M320" s="55">
        <f>Assumptions!$I$19*(1+Assumptions!$I$16)^M$302</f>
        <v>2143.0352637575056</v>
      </c>
    </row>
    <row r="321" spans="2:13" ht="15" customHeight="1" x14ac:dyDescent="0.35">
      <c r="B321" s="51" t="s">
        <v>737</v>
      </c>
      <c r="C321" s="55">
        <f>(Assumptions!$D$30+(Assumptions!$I$18-Assumptions!$D$30)*MIN(C$302/Assumptions!$D$33,1))*C320</f>
        <v>24.150000000000002</v>
      </c>
      <c r="D321" s="55">
        <f>(Assumptions!$D$30+(Assumptions!$I$18-Assumptions!$D$30)*MIN(D$302/Assumptions!$D$33,1))*D320</f>
        <v>52.55040000000001</v>
      </c>
      <c r="E321" s="55">
        <f>(Assumptions!$D$30+(Assumptions!$I$18-Assumptions!$D$30)*MIN(E$302/Assumptions!$D$33,1))*E320</f>
        <v>87.419136000000023</v>
      </c>
      <c r="F321" s="55">
        <f>(Assumptions!$D$30+(Assumptions!$I$18-Assumptions!$D$30)*MIN(F$302/Assumptions!$D$33,1))*F320</f>
        <v>129.89964288000004</v>
      </c>
      <c r="G321" s="55">
        <f>(Assumptions!$D$30+(Assumptions!$I$18-Assumptions!$D$30)*MIN(G$302/Assumptions!$D$33,1))*G320</f>
        <v>181.31663585280003</v>
      </c>
      <c r="H321" s="55">
        <f>(Assumptions!$D$30+(Assumptions!$I$18-Assumptions!$D$30)*MIN(H$302/Assumptions!$D$33,1))*H320</f>
        <v>243.20315228160007</v>
      </c>
      <c r="I321" s="55">
        <f>(Assumptions!$D$30+(Assumptions!$I$18-Assumptions!$D$30)*MIN(I$302/Assumptions!$D$33,1))*I320</f>
        <v>272.38753055539212</v>
      </c>
      <c r="J321" s="55">
        <f>(Assumptions!$D$30+(Assumptions!$I$18-Assumptions!$D$30)*MIN(J$302/Assumptions!$D$33,1))*J320</f>
        <v>305.07403422203919</v>
      </c>
      <c r="K321" s="55">
        <f>(Assumptions!$D$30+(Assumptions!$I$18-Assumptions!$D$30)*MIN(K$302/Assumptions!$D$33,1))*K320</f>
        <v>341.68291832868391</v>
      </c>
      <c r="L321" s="55">
        <f>(Assumptions!$D$30+(Assumptions!$I$18-Assumptions!$D$30)*MIN(L$302/Assumptions!$D$33,1))*L320</f>
        <v>382.684868528126</v>
      </c>
      <c r="M321" s="55">
        <f>(Assumptions!$D$30+(Assumptions!$I$18-Assumptions!$D$30)*MIN(M$302/Assumptions!$D$33,1))*M320</f>
        <v>428.60705275150116</v>
      </c>
    </row>
    <row r="322" spans="2:13" ht="15" customHeight="1" x14ac:dyDescent="0.35">
      <c r="B322" s="51" t="s">
        <v>738</v>
      </c>
      <c r="C322" s="53">
        <f>MAX(Assumptions!$D$30,INDEX(C311:M311,$C$298+1)/INDEX(C303:M303,$C$298+1))</f>
        <v>3.5000000000000003E-2</v>
      </c>
    </row>
    <row r="324" spans="2:13" ht="15" customHeight="1" x14ac:dyDescent="0.35">
      <c r="B324" s="51" t="s">
        <v>739</v>
      </c>
      <c r="C324" s="57">
        <f>SUMPRODUCT($C$317:$M$317,$C$319:$M$319,($C$302:$M$302&lt;=$C$298)*1)</f>
        <v>167.14844228104619</v>
      </c>
    </row>
    <row r="325" spans="2:13" ht="15" customHeight="1" x14ac:dyDescent="0.35">
      <c r="B325" s="51" t="s">
        <v>740</v>
      </c>
      <c r="C325" s="57">
        <f>-MIN($C$318:$M$318)</f>
        <v>257.47855118034994</v>
      </c>
    </row>
    <row r="326" spans="2:13" ht="15" customHeight="1" x14ac:dyDescent="0.35">
      <c r="B326" s="51" t="s">
        <v>741</v>
      </c>
      <c r="C326" s="58">
        <f>Assumptions!$I$17</f>
        <v>0.11</v>
      </c>
    </row>
    <row r="327" spans="2:13" ht="15" customHeight="1" x14ac:dyDescent="0.35">
      <c r="B327" s="59" t="s">
        <v>742</v>
      </c>
      <c r="C327" s="60">
        <f>$C$324/$C$326</f>
        <v>1519.5312934640563</v>
      </c>
    </row>
    <row r="328" spans="2:13" ht="15" customHeight="1" x14ac:dyDescent="0.35">
      <c r="B328" s="51" t="s">
        <v>743</v>
      </c>
      <c r="C328" s="57">
        <f>SUMPRODUCT($C$321:$M$321-$C$313:$M$313*($C$302:$M$302&gt;$C$298),$C$319:$M$319,($C$302:$M$302&gt;=1)*1)</f>
        <v>1186.0987630297082</v>
      </c>
    </row>
    <row r="329" spans="2:13" ht="15" customHeight="1" x14ac:dyDescent="0.35">
      <c r="B329" s="51" t="s">
        <v>744</v>
      </c>
      <c r="C329" s="57">
        <f>$M$320-$M$303</f>
        <v>1629.4752637575052</v>
      </c>
    </row>
    <row r="330" spans="2:13" ht="15" customHeight="1" x14ac:dyDescent="0.35">
      <c r="B330" s="51" t="s">
        <v>745</v>
      </c>
      <c r="C330" s="57">
        <f>$C$329*Assumptions!$I$18/(Assumptions!$I$15-Assumptions!$I$25)*$M$319</f>
        <v>1773.3137229496674</v>
      </c>
    </row>
    <row r="331" spans="2:13" ht="15" customHeight="1" x14ac:dyDescent="0.35">
      <c r="B331" s="59" t="s">
        <v>746</v>
      </c>
      <c r="C331" s="60">
        <f>$C$328+$C$330</f>
        <v>2959.4124859793756</v>
      </c>
    </row>
    <row r="332" spans="2:13" ht="15" customHeight="1" x14ac:dyDescent="0.35">
      <c r="B332" s="59" t="s">
        <v>747</v>
      </c>
      <c r="C332" s="60">
        <f>$C$327+$C$331</f>
        <v>4478.9437794434316</v>
      </c>
    </row>
    <row r="333" spans="2:13" ht="15" customHeight="1" x14ac:dyDescent="0.35">
      <c r="B333" s="51" t="s">
        <v>748</v>
      </c>
      <c r="C333" s="57">
        <f>Assumptions!$I$21+Assumptions!$I$23+Assumptions!$I$20-Assumptions!$I$22</f>
        <v>527</v>
      </c>
    </row>
    <row r="334" spans="2:13" ht="15" customHeight="1" x14ac:dyDescent="0.35">
      <c r="B334" s="51" t="s">
        <v>749</v>
      </c>
      <c r="C334" s="57">
        <f>Assumptions!$D$29+$C$333</f>
        <v>3233.45</v>
      </c>
    </row>
    <row r="335" spans="2:13" ht="15" customHeight="1" x14ac:dyDescent="0.35">
      <c r="B335" s="59" t="s">
        <v>750</v>
      </c>
      <c r="C335" s="60">
        <f>$C$332-$C$333</f>
        <v>3951.9437794434316</v>
      </c>
    </row>
    <row r="336" spans="2:13" ht="15" customHeight="1" x14ac:dyDescent="0.35">
      <c r="B336" s="51" t="s">
        <v>751</v>
      </c>
      <c r="C336" s="57">
        <f>$C$335-Assumptions!$D$29</f>
        <v>1245.4937794434318</v>
      </c>
    </row>
    <row r="337" spans="2:3" ht="15" customHeight="1" x14ac:dyDescent="0.35">
      <c r="B337" s="51" t="s">
        <v>752</v>
      </c>
      <c r="C337" s="57">
        <f>SUMPRODUCT($C$317:$M$317,$C$319:$M$319,($C$302:$M$302&lt;=$C$300)*1)</f>
        <v>88.908457059981927</v>
      </c>
    </row>
    <row r="338" spans="2:3" ht="15" customHeight="1" x14ac:dyDescent="0.35">
      <c r="B338" s="51" t="s">
        <v>753</v>
      </c>
      <c r="C338" s="57">
        <f>$C$324+(1/$C$326-1)*$C$337</f>
        <v>886.49868576635458</v>
      </c>
    </row>
    <row r="339" spans="2:3" ht="15" customHeight="1" x14ac:dyDescent="0.35">
      <c r="B339" s="51" t="s">
        <v>754</v>
      </c>
      <c r="C339" s="57">
        <f>$C$338+$C$331-$C$333</f>
        <v>3318.9111717457299</v>
      </c>
    </row>
    <row r="340" spans="2:3" ht="15" customHeight="1" x14ac:dyDescent="0.35">
      <c r="B340" s="51" t="s">
        <v>755</v>
      </c>
      <c r="C340" s="57">
        <f>SUMPRODUCT($C$321:$M$321,$C$319:$M$319,($C$302:$M$302&gt;=1)*1)+$M$321*(1+Assumptions!$I$25)/(Assumptions!$I$15-Assumptions!$I$25)*$M$319</f>
        <v>3646.8877553117895</v>
      </c>
    </row>
  </sheetData>
  <conditionalFormatting sqref="B18:H23">
    <cfRule type="expression" dxfId="4" priority="2">
      <formula>B18&gt;$B$14</formula>
    </cfRule>
    <cfRule type="expression" dxfId="3" priority="3">
      <formula>B18&lt;=$B$14</formula>
    </cfRule>
  </conditionalFormatting>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B6B6B"/>
    <pageSetUpPr fitToPage="1"/>
  </sheetPr>
  <dimension ref="A1:H217"/>
  <sheetViews>
    <sheetView zoomScaleNormal="100" workbookViewId="0">
      <pane ySplit="1" topLeftCell="A2" activePane="bottomLeft" state="frozen"/>
      <selection pane="bottomLeft"/>
    </sheetView>
  </sheetViews>
  <sheetFormatPr defaultColWidth="8.6328125" defaultRowHeight="14.5" x14ac:dyDescent="0.35"/>
  <cols>
    <col min="1" max="1" width="10" customWidth="1"/>
    <col min="2" max="2" width="34" customWidth="1"/>
    <col min="3" max="3" width="46" customWidth="1"/>
    <col min="4" max="4" width="26" customWidth="1"/>
    <col min="5" max="5" width="6" customWidth="1"/>
    <col min="6" max="6" width="13" customWidth="1"/>
    <col min="7" max="7" width="12" customWidth="1"/>
    <col min="8" max="8" width="70" customWidth="1"/>
  </cols>
  <sheetData>
    <row r="1" spans="1:8" ht="34" customHeight="1" x14ac:dyDescent="0.35">
      <c r="A1" s="18" t="s">
        <v>795</v>
      </c>
      <c r="B1" s="18" t="s">
        <v>796</v>
      </c>
      <c r="C1" s="18" t="s">
        <v>797</v>
      </c>
      <c r="D1" s="18" t="s">
        <v>798</v>
      </c>
      <c r="E1" s="18" t="s">
        <v>799</v>
      </c>
      <c r="F1" s="18" t="s">
        <v>800</v>
      </c>
      <c r="G1" s="18" t="s">
        <v>68</v>
      </c>
      <c r="H1" s="18" t="s">
        <v>70</v>
      </c>
    </row>
    <row r="2" spans="1:8" ht="23.9" customHeight="1" x14ac:dyDescent="0.35">
      <c r="A2" s="19" t="s">
        <v>801</v>
      </c>
      <c r="B2" s="26" t="s">
        <v>104</v>
      </c>
      <c r="C2" s="20" t="s">
        <v>802</v>
      </c>
      <c r="D2" s="24" t="s">
        <v>803</v>
      </c>
      <c r="E2" s="19" t="s">
        <v>804</v>
      </c>
      <c r="F2" s="19"/>
      <c r="G2" s="19" t="s">
        <v>85</v>
      </c>
      <c r="H2" s="20" t="s">
        <v>805</v>
      </c>
    </row>
    <row r="3" spans="1:8" ht="23.9" customHeight="1" x14ac:dyDescent="0.35">
      <c r="A3" s="27" t="s">
        <v>806</v>
      </c>
      <c r="B3" s="33" t="s">
        <v>807</v>
      </c>
      <c r="C3" s="28" t="s">
        <v>808</v>
      </c>
      <c r="D3" s="32" t="s">
        <v>809</v>
      </c>
      <c r="E3" s="27" t="s">
        <v>804</v>
      </c>
      <c r="F3" s="27" t="s">
        <v>810</v>
      </c>
      <c r="G3" s="27" t="s">
        <v>85</v>
      </c>
      <c r="H3" s="28" t="s">
        <v>811</v>
      </c>
    </row>
    <row r="4" spans="1:8" ht="23.9" customHeight="1" x14ac:dyDescent="0.35">
      <c r="A4" s="19" t="s">
        <v>812</v>
      </c>
      <c r="B4" s="26" t="s">
        <v>813</v>
      </c>
      <c r="C4" s="20" t="s">
        <v>814</v>
      </c>
      <c r="D4" s="24" t="s">
        <v>73</v>
      </c>
      <c r="E4" s="19" t="s">
        <v>804</v>
      </c>
      <c r="F4" s="19"/>
      <c r="G4" s="19" t="s">
        <v>85</v>
      </c>
      <c r="H4" s="20" t="s">
        <v>815</v>
      </c>
    </row>
    <row r="5" spans="1:8" ht="23.9" customHeight="1" x14ac:dyDescent="0.35">
      <c r="A5" s="27" t="s">
        <v>816</v>
      </c>
      <c r="B5" s="33" t="s">
        <v>817</v>
      </c>
      <c r="C5" s="28" t="s">
        <v>818</v>
      </c>
      <c r="D5" s="32" t="s">
        <v>819</v>
      </c>
      <c r="E5" s="27" t="s">
        <v>804</v>
      </c>
      <c r="F5" s="27"/>
      <c r="G5" s="27" t="s">
        <v>85</v>
      </c>
      <c r="H5" s="28" t="s">
        <v>820</v>
      </c>
    </row>
    <row r="6" spans="1:8" ht="15" customHeight="1" x14ac:dyDescent="0.35">
      <c r="A6" s="19" t="s">
        <v>821</v>
      </c>
      <c r="B6" s="26" t="s">
        <v>822</v>
      </c>
      <c r="C6" s="20" t="s">
        <v>823</v>
      </c>
      <c r="D6" s="24" t="s">
        <v>803</v>
      </c>
      <c r="E6" s="19" t="s">
        <v>804</v>
      </c>
      <c r="F6" s="19"/>
      <c r="G6" s="19" t="s">
        <v>85</v>
      </c>
      <c r="H6" s="20" t="s">
        <v>824</v>
      </c>
    </row>
    <row r="7" spans="1:8" ht="23.9" customHeight="1" x14ac:dyDescent="0.35">
      <c r="A7" s="27" t="s">
        <v>825</v>
      </c>
      <c r="B7" s="33" t="s">
        <v>826</v>
      </c>
      <c r="C7" s="28" t="s">
        <v>827</v>
      </c>
      <c r="D7" s="32" t="s">
        <v>828</v>
      </c>
      <c r="E7" s="27" t="s">
        <v>804</v>
      </c>
      <c r="F7" s="27" t="s">
        <v>829</v>
      </c>
      <c r="G7" s="27" t="s">
        <v>85</v>
      </c>
      <c r="H7" s="28" t="s">
        <v>830</v>
      </c>
    </row>
    <row r="8" spans="1:8" ht="23.9" customHeight="1" x14ac:dyDescent="0.35">
      <c r="A8" s="19" t="s">
        <v>696</v>
      </c>
      <c r="B8" s="26" t="s">
        <v>83</v>
      </c>
      <c r="C8" s="20" t="s">
        <v>831</v>
      </c>
      <c r="D8" s="24" t="s">
        <v>803</v>
      </c>
      <c r="E8" s="19" t="s">
        <v>804</v>
      </c>
      <c r="F8" s="19" t="s">
        <v>832</v>
      </c>
      <c r="G8" s="19" t="s">
        <v>85</v>
      </c>
      <c r="H8" s="20" t="s">
        <v>833</v>
      </c>
    </row>
    <row r="9" spans="1:8" ht="23.9" customHeight="1" x14ac:dyDescent="0.35">
      <c r="A9" s="27" t="s">
        <v>834</v>
      </c>
      <c r="B9" s="33" t="s">
        <v>95</v>
      </c>
      <c r="C9" s="28" t="s">
        <v>835</v>
      </c>
      <c r="D9" s="32" t="s">
        <v>803</v>
      </c>
      <c r="E9" s="27" t="s">
        <v>804</v>
      </c>
      <c r="F9" s="27" t="s">
        <v>836</v>
      </c>
      <c r="G9" s="27" t="s">
        <v>85</v>
      </c>
      <c r="H9" s="28" t="s">
        <v>837</v>
      </c>
    </row>
    <row r="10" spans="1:8" ht="23.9" customHeight="1" x14ac:dyDescent="0.35">
      <c r="A10" s="19" t="s">
        <v>838</v>
      </c>
      <c r="B10" s="26" t="s">
        <v>839</v>
      </c>
      <c r="C10" s="20" t="s">
        <v>840</v>
      </c>
      <c r="D10" s="24" t="s">
        <v>803</v>
      </c>
      <c r="E10" s="19" t="s">
        <v>804</v>
      </c>
      <c r="F10" s="19" t="s">
        <v>841</v>
      </c>
      <c r="G10" s="19" t="s">
        <v>85</v>
      </c>
      <c r="H10" s="20" t="s">
        <v>842</v>
      </c>
    </row>
    <row r="11" spans="1:8" ht="23.9" customHeight="1" x14ac:dyDescent="0.35">
      <c r="A11" s="27" t="s">
        <v>843</v>
      </c>
      <c r="B11" s="33" t="s">
        <v>844</v>
      </c>
      <c r="C11" s="28" t="s">
        <v>845</v>
      </c>
      <c r="D11" s="32" t="s">
        <v>803</v>
      </c>
      <c r="E11" s="27" t="s">
        <v>804</v>
      </c>
      <c r="F11" s="27" t="s">
        <v>841</v>
      </c>
      <c r="G11" s="27" t="s">
        <v>85</v>
      </c>
      <c r="H11" s="28" t="s">
        <v>846</v>
      </c>
    </row>
    <row r="12" spans="1:8" ht="15" customHeight="1" x14ac:dyDescent="0.35">
      <c r="A12" s="19" t="s">
        <v>847</v>
      </c>
      <c r="B12" s="26" t="s">
        <v>848</v>
      </c>
      <c r="C12" s="20" t="s">
        <v>849</v>
      </c>
      <c r="D12" s="24" t="s">
        <v>803</v>
      </c>
      <c r="E12" s="19" t="s">
        <v>804</v>
      </c>
      <c r="F12" s="19" t="s">
        <v>850</v>
      </c>
      <c r="G12" s="19" t="s">
        <v>85</v>
      </c>
      <c r="H12" s="20" t="s">
        <v>851</v>
      </c>
    </row>
    <row r="13" spans="1:8" ht="23.9" customHeight="1" x14ac:dyDescent="0.35">
      <c r="A13" s="27" t="s">
        <v>852</v>
      </c>
      <c r="B13" s="33" t="s">
        <v>853</v>
      </c>
      <c r="C13" s="28" t="s">
        <v>854</v>
      </c>
      <c r="D13" s="32" t="s">
        <v>803</v>
      </c>
      <c r="E13" s="27" t="s">
        <v>804</v>
      </c>
      <c r="F13" s="27" t="s">
        <v>855</v>
      </c>
      <c r="G13" s="27" t="s">
        <v>85</v>
      </c>
      <c r="H13" s="28" t="s">
        <v>856</v>
      </c>
    </row>
    <row r="14" spans="1:8" ht="23.9" customHeight="1" x14ac:dyDescent="0.35">
      <c r="A14" s="19" t="s">
        <v>857</v>
      </c>
      <c r="B14" s="26" t="s">
        <v>115</v>
      </c>
      <c r="C14" s="20" t="s">
        <v>858</v>
      </c>
      <c r="D14" s="24" t="s">
        <v>859</v>
      </c>
      <c r="E14" s="19" t="s">
        <v>804</v>
      </c>
      <c r="F14" s="19" t="s">
        <v>860</v>
      </c>
      <c r="G14" s="19" t="s">
        <v>85</v>
      </c>
      <c r="H14" s="20" t="s">
        <v>861</v>
      </c>
    </row>
    <row r="15" spans="1:8" ht="23.9" customHeight="1" x14ac:dyDescent="0.35">
      <c r="A15" s="27" t="s">
        <v>862</v>
      </c>
      <c r="B15" s="33" t="s">
        <v>863</v>
      </c>
      <c r="C15" s="28" t="s">
        <v>864</v>
      </c>
      <c r="D15" s="32" t="s">
        <v>859</v>
      </c>
      <c r="E15" s="27" t="s">
        <v>804</v>
      </c>
      <c r="F15" s="27" t="s">
        <v>865</v>
      </c>
      <c r="G15" s="27" t="s">
        <v>85</v>
      </c>
      <c r="H15" s="28" t="s">
        <v>866</v>
      </c>
    </row>
    <row r="16" spans="1:8" ht="23.9" customHeight="1" x14ac:dyDescent="0.35">
      <c r="A16" s="19" t="s">
        <v>867</v>
      </c>
      <c r="B16" s="26" t="s">
        <v>868</v>
      </c>
      <c r="C16" s="20" t="s">
        <v>869</v>
      </c>
      <c r="D16" s="24" t="s">
        <v>859</v>
      </c>
      <c r="E16" s="19" t="s">
        <v>804</v>
      </c>
      <c r="F16" s="19" t="s">
        <v>870</v>
      </c>
      <c r="G16" s="19" t="s">
        <v>85</v>
      </c>
      <c r="H16" s="20" t="s">
        <v>871</v>
      </c>
    </row>
    <row r="17" spans="1:8" ht="23.9" customHeight="1" x14ac:dyDescent="0.35">
      <c r="A17" s="27" t="s">
        <v>872</v>
      </c>
      <c r="B17" s="33" t="s">
        <v>873</v>
      </c>
      <c r="C17" s="28" t="s">
        <v>874</v>
      </c>
      <c r="D17" s="32" t="s">
        <v>859</v>
      </c>
      <c r="E17" s="27" t="s">
        <v>804</v>
      </c>
      <c r="F17" s="27" t="s">
        <v>875</v>
      </c>
      <c r="G17" s="27" t="s">
        <v>85</v>
      </c>
      <c r="H17" s="28" t="s">
        <v>876</v>
      </c>
    </row>
    <row r="18" spans="1:8" ht="23.9" customHeight="1" x14ac:dyDescent="0.35">
      <c r="A18" s="19" t="s">
        <v>877</v>
      </c>
      <c r="B18" s="26" t="s">
        <v>878</v>
      </c>
      <c r="C18" s="20" t="s">
        <v>879</v>
      </c>
      <c r="D18" s="24" t="s">
        <v>859</v>
      </c>
      <c r="E18" s="19" t="s">
        <v>804</v>
      </c>
      <c r="F18" s="19" t="s">
        <v>880</v>
      </c>
      <c r="G18" s="19" t="s">
        <v>85</v>
      </c>
      <c r="H18" s="20" t="s">
        <v>881</v>
      </c>
    </row>
    <row r="19" spans="1:8" ht="23.9" customHeight="1" x14ac:dyDescent="0.35">
      <c r="A19" s="27" t="s">
        <v>882</v>
      </c>
      <c r="B19" s="33" t="s">
        <v>883</v>
      </c>
      <c r="C19" s="28" t="s">
        <v>884</v>
      </c>
      <c r="D19" s="32" t="s">
        <v>859</v>
      </c>
      <c r="E19" s="27" t="s">
        <v>804</v>
      </c>
      <c r="F19" s="27" t="s">
        <v>885</v>
      </c>
      <c r="G19" s="27" t="s">
        <v>85</v>
      </c>
      <c r="H19" s="28" t="s">
        <v>886</v>
      </c>
    </row>
    <row r="20" spans="1:8" ht="15" customHeight="1" x14ac:dyDescent="0.35">
      <c r="A20" s="19" t="s">
        <v>887</v>
      </c>
      <c r="B20" s="26" t="s">
        <v>888</v>
      </c>
      <c r="C20" s="20" t="s">
        <v>889</v>
      </c>
      <c r="D20" s="24" t="s">
        <v>859</v>
      </c>
      <c r="E20" s="19" t="s">
        <v>804</v>
      </c>
      <c r="F20" s="19" t="s">
        <v>890</v>
      </c>
      <c r="G20" s="19" t="s">
        <v>85</v>
      </c>
      <c r="H20" s="20" t="s">
        <v>891</v>
      </c>
    </row>
    <row r="21" spans="1:8" ht="23.9" customHeight="1" x14ac:dyDescent="0.35">
      <c r="A21" s="27" t="s">
        <v>892</v>
      </c>
      <c r="B21" s="33" t="s">
        <v>123</v>
      </c>
      <c r="C21" s="28" t="s">
        <v>893</v>
      </c>
      <c r="D21" s="32" t="s">
        <v>859</v>
      </c>
      <c r="E21" s="27" t="s">
        <v>804</v>
      </c>
      <c r="F21" s="27" t="s">
        <v>894</v>
      </c>
      <c r="G21" s="27" t="s">
        <v>85</v>
      </c>
      <c r="H21" s="28" t="s">
        <v>895</v>
      </c>
    </row>
    <row r="22" spans="1:8" ht="23.9" customHeight="1" x14ac:dyDescent="0.35">
      <c r="A22" s="19" t="s">
        <v>896</v>
      </c>
      <c r="B22" s="26" t="s">
        <v>897</v>
      </c>
      <c r="C22" s="20" t="s">
        <v>898</v>
      </c>
      <c r="D22" s="24" t="s">
        <v>859</v>
      </c>
      <c r="E22" s="19" t="s">
        <v>804</v>
      </c>
      <c r="F22" s="19" t="s">
        <v>899</v>
      </c>
      <c r="G22" s="19" t="s">
        <v>85</v>
      </c>
      <c r="H22" s="20" t="s">
        <v>900</v>
      </c>
    </row>
    <row r="23" spans="1:8" ht="23.9" customHeight="1" x14ac:dyDescent="0.35">
      <c r="A23" s="27" t="s">
        <v>901</v>
      </c>
      <c r="B23" s="33" t="s">
        <v>902</v>
      </c>
      <c r="C23" s="28" t="s">
        <v>903</v>
      </c>
      <c r="D23" s="32" t="s">
        <v>859</v>
      </c>
      <c r="E23" s="27" t="s">
        <v>804</v>
      </c>
      <c r="F23" s="27" t="s">
        <v>904</v>
      </c>
      <c r="G23" s="27" t="s">
        <v>85</v>
      </c>
      <c r="H23" s="28" t="s">
        <v>905</v>
      </c>
    </row>
    <row r="24" spans="1:8" ht="23.9" customHeight="1" x14ac:dyDescent="0.35">
      <c r="A24" s="19" t="s">
        <v>906</v>
      </c>
      <c r="B24" s="26" t="s">
        <v>142</v>
      </c>
      <c r="C24" s="20" t="s">
        <v>907</v>
      </c>
      <c r="D24" s="24" t="s">
        <v>859</v>
      </c>
      <c r="E24" s="19" t="s">
        <v>804</v>
      </c>
      <c r="F24" s="19" t="s">
        <v>908</v>
      </c>
      <c r="G24" s="19" t="s">
        <v>85</v>
      </c>
      <c r="H24" s="20" t="s">
        <v>909</v>
      </c>
    </row>
    <row r="25" spans="1:8" ht="23.9" customHeight="1" x14ac:dyDescent="0.35">
      <c r="A25" s="27" t="s">
        <v>910</v>
      </c>
      <c r="B25" s="33" t="s">
        <v>911</v>
      </c>
      <c r="C25" s="28" t="s">
        <v>912</v>
      </c>
      <c r="D25" s="32" t="s">
        <v>859</v>
      </c>
      <c r="E25" s="27" t="s">
        <v>804</v>
      </c>
      <c r="F25" s="27" t="s">
        <v>913</v>
      </c>
      <c r="G25" s="27" t="s">
        <v>85</v>
      </c>
      <c r="H25" s="28" t="s">
        <v>914</v>
      </c>
    </row>
    <row r="26" spans="1:8" ht="23.9" customHeight="1" x14ac:dyDescent="0.35">
      <c r="A26" s="19" t="s">
        <v>915</v>
      </c>
      <c r="B26" s="26" t="s">
        <v>916</v>
      </c>
      <c r="C26" s="20" t="s">
        <v>917</v>
      </c>
      <c r="D26" s="24" t="s">
        <v>859</v>
      </c>
      <c r="E26" s="19" t="s">
        <v>804</v>
      </c>
      <c r="F26" s="19" t="s">
        <v>918</v>
      </c>
      <c r="G26" s="19" t="s">
        <v>85</v>
      </c>
      <c r="H26" s="20" t="s">
        <v>919</v>
      </c>
    </row>
    <row r="27" spans="1:8" ht="15" customHeight="1" x14ac:dyDescent="0.35">
      <c r="A27" s="27" t="s">
        <v>920</v>
      </c>
      <c r="B27" s="33" t="s">
        <v>921</v>
      </c>
      <c r="C27" s="28" t="s">
        <v>922</v>
      </c>
      <c r="D27" s="32" t="s">
        <v>859</v>
      </c>
      <c r="E27" s="27" t="s">
        <v>804</v>
      </c>
      <c r="F27" s="27" t="s">
        <v>923</v>
      </c>
      <c r="G27" s="27" t="s">
        <v>85</v>
      </c>
      <c r="H27" s="28" t="s">
        <v>924</v>
      </c>
    </row>
    <row r="28" spans="1:8" ht="15" customHeight="1" x14ac:dyDescent="0.35">
      <c r="A28" s="19" t="s">
        <v>925</v>
      </c>
      <c r="B28" s="26" t="s">
        <v>926</v>
      </c>
      <c r="C28" s="20" t="s">
        <v>927</v>
      </c>
      <c r="D28" s="24" t="s">
        <v>859</v>
      </c>
      <c r="E28" s="19" t="s">
        <v>804</v>
      </c>
      <c r="F28" s="19" t="s">
        <v>928</v>
      </c>
      <c r="G28" s="19" t="s">
        <v>85</v>
      </c>
      <c r="H28" s="20" t="s">
        <v>929</v>
      </c>
    </row>
    <row r="29" spans="1:8" ht="23.9" customHeight="1" x14ac:dyDescent="0.35">
      <c r="A29" s="27" t="s">
        <v>930</v>
      </c>
      <c r="B29" s="33" t="s">
        <v>931</v>
      </c>
      <c r="C29" s="28" t="s">
        <v>932</v>
      </c>
      <c r="D29" s="32" t="s">
        <v>859</v>
      </c>
      <c r="E29" s="27" t="s">
        <v>804</v>
      </c>
      <c r="F29" s="27" t="s">
        <v>933</v>
      </c>
      <c r="G29" s="27" t="s">
        <v>85</v>
      </c>
      <c r="H29" s="28" t="s">
        <v>934</v>
      </c>
    </row>
    <row r="30" spans="1:8" ht="23.9" customHeight="1" x14ac:dyDescent="0.35">
      <c r="A30" s="19" t="s">
        <v>935</v>
      </c>
      <c r="B30" s="26" t="s">
        <v>936</v>
      </c>
      <c r="C30" s="20" t="s">
        <v>937</v>
      </c>
      <c r="D30" s="24" t="s">
        <v>859</v>
      </c>
      <c r="E30" s="19" t="s">
        <v>804</v>
      </c>
      <c r="F30" s="19" t="s">
        <v>938</v>
      </c>
      <c r="G30" s="19" t="s">
        <v>85</v>
      </c>
      <c r="H30" s="20" t="s">
        <v>939</v>
      </c>
    </row>
    <row r="31" spans="1:8" ht="23.9" customHeight="1" x14ac:dyDescent="0.35">
      <c r="A31" s="27" t="s">
        <v>940</v>
      </c>
      <c r="B31" s="33" t="s">
        <v>941</v>
      </c>
      <c r="C31" s="28" t="s">
        <v>942</v>
      </c>
      <c r="D31" s="32" t="s">
        <v>859</v>
      </c>
      <c r="E31" s="27" t="s">
        <v>804</v>
      </c>
      <c r="F31" s="27" t="s">
        <v>943</v>
      </c>
      <c r="G31" s="27" t="s">
        <v>85</v>
      </c>
      <c r="H31" s="28" t="s">
        <v>944</v>
      </c>
    </row>
    <row r="32" spans="1:8" ht="23.9" customHeight="1" x14ac:dyDescent="0.35">
      <c r="A32" s="19" t="s">
        <v>945</v>
      </c>
      <c r="B32" s="26" t="s">
        <v>946</v>
      </c>
      <c r="C32" s="20" t="s">
        <v>947</v>
      </c>
      <c r="D32" s="24" t="s">
        <v>859</v>
      </c>
      <c r="E32" s="19" t="s">
        <v>804</v>
      </c>
      <c r="F32" s="19" t="s">
        <v>948</v>
      </c>
      <c r="G32" s="19" t="s">
        <v>85</v>
      </c>
      <c r="H32" s="20" t="s">
        <v>949</v>
      </c>
    </row>
    <row r="33" spans="1:8" ht="15" customHeight="1" x14ac:dyDescent="0.35">
      <c r="A33" s="27" t="s">
        <v>950</v>
      </c>
      <c r="B33" s="33" t="s">
        <v>951</v>
      </c>
      <c r="C33" s="28" t="s">
        <v>952</v>
      </c>
      <c r="D33" s="32" t="s">
        <v>859</v>
      </c>
      <c r="E33" s="27" t="s">
        <v>804</v>
      </c>
      <c r="F33" s="27" t="s">
        <v>953</v>
      </c>
      <c r="G33" s="27" t="s">
        <v>85</v>
      </c>
      <c r="H33" s="28" t="s">
        <v>954</v>
      </c>
    </row>
    <row r="34" spans="1:8" ht="23.9" customHeight="1" x14ac:dyDescent="0.35">
      <c r="A34" s="19" t="s">
        <v>955</v>
      </c>
      <c r="B34" s="26" t="s">
        <v>956</v>
      </c>
      <c r="C34" s="20" t="s">
        <v>957</v>
      </c>
      <c r="D34" s="24" t="s">
        <v>859</v>
      </c>
      <c r="E34" s="19" t="s">
        <v>804</v>
      </c>
      <c r="F34" s="19" t="s">
        <v>958</v>
      </c>
      <c r="G34" s="19" t="s">
        <v>85</v>
      </c>
      <c r="H34" s="20" t="s">
        <v>959</v>
      </c>
    </row>
    <row r="35" spans="1:8" ht="23.9" customHeight="1" x14ac:dyDescent="0.35">
      <c r="A35" s="27" t="s">
        <v>960</v>
      </c>
      <c r="B35" s="33" t="s">
        <v>151</v>
      </c>
      <c r="C35" s="28" t="s">
        <v>961</v>
      </c>
      <c r="D35" s="32" t="s">
        <v>962</v>
      </c>
      <c r="E35" s="27" t="s">
        <v>804</v>
      </c>
      <c r="F35" s="27" t="s">
        <v>963</v>
      </c>
      <c r="G35" s="27" t="s">
        <v>85</v>
      </c>
      <c r="H35" s="28" t="s">
        <v>964</v>
      </c>
    </row>
    <row r="36" spans="1:8" ht="23.9" customHeight="1" x14ac:dyDescent="0.35">
      <c r="A36" s="19" t="s">
        <v>965</v>
      </c>
      <c r="B36" s="26" t="s">
        <v>966</v>
      </c>
      <c r="C36" s="20" t="s">
        <v>967</v>
      </c>
      <c r="D36" s="24" t="s">
        <v>962</v>
      </c>
      <c r="E36" s="19" t="s">
        <v>804</v>
      </c>
      <c r="F36" s="19" t="s">
        <v>968</v>
      </c>
      <c r="G36" s="19" t="s">
        <v>85</v>
      </c>
      <c r="H36" s="20" t="s">
        <v>969</v>
      </c>
    </row>
    <row r="37" spans="1:8" ht="15" customHeight="1" x14ac:dyDescent="0.35">
      <c r="A37" s="27" t="s">
        <v>970</v>
      </c>
      <c r="B37" s="33" t="s">
        <v>161</v>
      </c>
      <c r="C37" s="28" t="s">
        <v>971</v>
      </c>
      <c r="D37" s="32" t="s">
        <v>962</v>
      </c>
      <c r="E37" s="27" t="s">
        <v>804</v>
      </c>
      <c r="F37" s="27" t="s">
        <v>972</v>
      </c>
      <c r="G37" s="27" t="s">
        <v>85</v>
      </c>
      <c r="H37" s="28" t="s">
        <v>973</v>
      </c>
    </row>
    <row r="38" spans="1:8" ht="15" customHeight="1" x14ac:dyDescent="0.35">
      <c r="A38" s="19" t="s">
        <v>974</v>
      </c>
      <c r="B38" s="26" t="s">
        <v>975</v>
      </c>
      <c r="C38" s="20" t="s">
        <v>976</v>
      </c>
      <c r="D38" s="24" t="s">
        <v>962</v>
      </c>
      <c r="E38" s="19" t="s">
        <v>804</v>
      </c>
      <c r="F38" s="19" t="s">
        <v>977</v>
      </c>
      <c r="G38" s="19" t="s">
        <v>85</v>
      </c>
      <c r="H38" s="20" t="s">
        <v>978</v>
      </c>
    </row>
    <row r="39" spans="1:8" ht="23.9" customHeight="1" x14ac:dyDescent="0.35">
      <c r="A39" s="27" t="s">
        <v>979</v>
      </c>
      <c r="B39" s="33" t="s">
        <v>980</v>
      </c>
      <c r="C39" s="28" t="s">
        <v>981</v>
      </c>
      <c r="D39" s="32" t="s">
        <v>962</v>
      </c>
      <c r="E39" s="27" t="s">
        <v>804</v>
      </c>
      <c r="F39" s="27" t="s">
        <v>982</v>
      </c>
      <c r="G39" s="27" t="s">
        <v>85</v>
      </c>
      <c r="H39" s="28" t="s">
        <v>983</v>
      </c>
    </row>
    <row r="40" spans="1:8" ht="15" customHeight="1" x14ac:dyDescent="0.35">
      <c r="A40" s="19" t="s">
        <v>984</v>
      </c>
      <c r="B40" s="26" t="s">
        <v>169</v>
      </c>
      <c r="C40" s="20" t="s">
        <v>985</v>
      </c>
      <c r="D40" s="24" t="s">
        <v>962</v>
      </c>
      <c r="E40" s="19" t="s">
        <v>804</v>
      </c>
      <c r="F40" s="19" t="s">
        <v>972</v>
      </c>
      <c r="G40" s="19" t="s">
        <v>85</v>
      </c>
      <c r="H40" s="20" t="s">
        <v>986</v>
      </c>
    </row>
    <row r="41" spans="1:8" ht="15" customHeight="1" x14ac:dyDescent="0.35">
      <c r="A41" s="27" t="s">
        <v>987</v>
      </c>
      <c r="B41" s="33" t="s">
        <v>988</v>
      </c>
      <c r="C41" s="28" t="s">
        <v>989</v>
      </c>
      <c r="D41" s="32" t="s">
        <v>962</v>
      </c>
      <c r="E41" s="27" t="s">
        <v>804</v>
      </c>
      <c r="F41" s="27" t="s">
        <v>990</v>
      </c>
      <c r="G41" s="27" t="s">
        <v>85</v>
      </c>
      <c r="H41" s="28" t="s">
        <v>991</v>
      </c>
    </row>
    <row r="42" spans="1:8" ht="15" customHeight="1" x14ac:dyDescent="0.35">
      <c r="A42" s="19" t="s">
        <v>992</v>
      </c>
      <c r="B42" s="26" t="s">
        <v>993</v>
      </c>
      <c r="C42" s="20" t="s">
        <v>994</v>
      </c>
      <c r="D42" s="24" t="s">
        <v>962</v>
      </c>
      <c r="E42" s="19" t="s">
        <v>804</v>
      </c>
      <c r="F42" s="19" t="s">
        <v>995</v>
      </c>
      <c r="G42" s="19" t="s">
        <v>85</v>
      </c>
      <c r="H42" s="20" t="s">
        <v>996</v>
      </c>
    </row>
    <row r="43" spans="1:8" ht="23.9" customHeight="1" x14ac:dyDescent="0.35">
      <c r="A43" s="27" t="s">
        <v>997</v>
      </c>
      <c r="B43" s="33" t="s">
        <v>998</v>
      </c>
      <c r="C43" s="28" t="s">
        <v>999</v>
      </c>
      <c r="D43" s="32" t="s">
        <v>962</v>
      </c>
      <c r="E43" s="27" t="s">
        <v>804</v>
      </c>
      <c r="F43" s="27" t="s">
        <v>1000</v>
      </c>
      <c r="G43" s="27" t="s">
        <v>85</v>
      </c>
      <c r="H43" s="28" t="s">
        <v>1001</v>
      </c>
    </row>
    <row r="44" spans="1:8" ht="23.9" customHeight="1" x14ac:dyDescent="0.35">
      <c r="A44" s="19" t="s">
        <v>1002</v>
      </c>
      <c r="B44" s="26" t="s">
        <v>1003</v>
      </c>
      <c r="C44" s="20" t="s">
        <v>1004</v>
      </c>
      <c r="D44" s="24" t="s">
        <v>1005</v>
      </c>
      <c r="E44" s="19" t="s">
        <v>1006</v>
      </c>
      <c r="F44" s="19"/>
      <c r="G44" s="19" t="s">
        <v>85</v>
      </c>
      <c r="H44" s="20" t="s">
        <v>830</v>
      </c>
    </row>
    <row r="45" spans="1:8" ht="23.9" customHeight="1" x14ac:dyDescent="0.35">
      <c r="A45" s="27" t="s">
        <v>1007</v>
      </c>
      <c r="B45" s="33" t="s">
        <v>1008</v>
      </c>
      <c r="C45" s="28" t="s">
        <v>1009</v>
      </c>
      <c r="D45" s="32" t="s">
        <v>145</v>
      </c>
      <c r="E45" s="27" t="s">
        <v>804</v>
      </c>
      <c r="F45" s="27"/>
      <c r="G45" s="27" t="s">
        <v>85</v>
      </c>
      <c r="H45" s="28" t="s">
        <v>830</v>
      </c>
    </row>
    <row r="46" spans="1:8" ht="23.9" customHeight="1" x14ac:dyDescent="0.35">
      <c r="A46" s="19" t="s">
        <v>1010</v>
      </c>
      <c r="B46" s="26" t="s">
        <v>179</v>
      </c>
      <c r="C46" s="20" t="s">
        <v>1011</v>
      </c>
      <c r="D46" s="24" t="s">
        <v>1012</v>
      </c>
      <c r="E46" s="19" t="s">
        <v>804</v>
      </c>
      <c r="F46" s="19" t="s">
        <v>1013</v>
      </c>
      <c r="G46" s="19" t="s">
        <v>85</v>
      </c>
      <c r="H46" s="20" t="s">
        <v>1014</v>
      </c>
    </row>
    <row r="47" spans="1:8" ht="23.9" customHeight="1" x14ac:dyDescent="0.35">
      <c r="A47" s="27" t="s">
        <v>1015</v>
      </c>
      <c r="B47" s="33" t="s">
        <v>188</v>
      </c>
      <c r="C47" s="28" t="s">
        <v>1016</v>
      </c>
      <c r="D47" s="32" t="s">
        <v>1012</v>
      </c>
      <c r="E47" s="27" t="s">
        <v>804</v>
      </c>
      <c r="F47" s="27" t="s">
        <v>1017</v>
      </c>
      <c r="G47" s="27" t="s">
        <v>85</v>
      </c>
      <c r="H47" s="28" t="s">
        <v>1018</v>
      </c>
    </row>
    <row r="48" spans="1:8" ht="15" customHeight="1" x14ac:dyDescent="0.35">
      <c r="A48" s="19" t="s">
        <v>1019</v>
      </c>
      <c r="B48" s="26" t="s">
        <v>1020</v>
      </c>
      <c r="C48" s="20" t="s">
        <v>1021</v>
      </c>
      <c r="D48" s="24" t="s">
        <v>1012</v>
      </c>
      <c r="E48" s="19" t="s">
        <v>804</v>
      </c>
      <c r="F48" s="19" t="s">
        <v>1022</v>
      </c>
      <c r="G48" s="19" t="s">
        <v>85</v>
      </c>
      <c r="H48" s="20" t="s">
        <v>1023</v>
      </c>
    </row>
    <row r="49" spans="1:8" ht="15" customHeight="1" x14ac:dyDescent="0.35">
      <c r="A49" s="27" t="s">
        <v>1024</v>
      </c>
      <c r="B49" s="33" t="s">
        <v>1025</v>
      </c>
      <c r="C49" s="28" t="s">
        <v>1026</v>
      </c>
      <c r="D49" s="32" t="s">
        <v>1012</v>
      </c>
      <c r="E49" s="27" t="s">
        <v>804</v>
      </c>
      <c r="F49" s="27" t="s">
        <v>1027</v>
      </c>
      <c r="G49" s="27" t="s">
        <v>85</v>
      </c>
      <c r="H49" s="28" t="s">
        <v>1028</v>
      </c>
    </row>
    <row r="50" spans="1:8" ht="23.9" customHeight="1" x14ac:dyDescent="0.35">
      <c r="A50" s="19" t="s">
        <v>1029</v>
      </c>
      <c r="B50" s="26" t="s">
        <v>1030</v>
      </c>
      <c r="C50" s="20" t="s">
        <v>1031</v>
      </c>
      <c r="D50" s="24" t="s">
        <v>1012</v>
      </c>
      <c r="E50" s="19" t="s">
        <v>804</v>
      </c>
      <c r="F50" s="19" t="s">
        <v>1032</v>
      </c>
      <c r="G50" s="19" t="s">
        <v>85</v>
      </c>
      <c r="H50" s="20" t="s">
        <v>1033</v>
      </c>
    </row>
    <row r="51" spans="1:8" ht="15" customHeight="1" x14ac:dyDescent="0.35">
      <c r="A51" s="27" t="s">
        <v>1034</v>
      </c>
      <c r="B51" s="33" t="s">
        <v>1035</v>
      </c>
      <c r="C51" s="28" t="s">
        <v>1036</v>
      </c>
      <c r="D51" s="32" t="s">
        <v>1012</v>
      </c>
      <c r="E51" s="27" t="s">
        <v>804</v>
      </c>
      <c r="F51" s="27" t="s">
        <v>1037</v>
      </c>
      <c r="G51" s="27" t="s">
        <v>85</v>
      </c>
      <c r="H51" s="28" t="s">
        <v>1038</v>
      </c>
    </row>
    <row r="52" spans="1:8" ht="23.9" customHeight="1" x14ac:dyDescent="0.35">
      <c r="A52" s="19" t="s">
        <v>1039</v>
      </c>
      <c r="B52" s="26" t="s">
        <v>196</v>
      </c>
      <c r="C52" s="20" t="s">
        <v>1040</v>
      </c>
      <c r="D52" s="24" t="s">
        <v>1012</v>
      </c>
      <c r="E52" s="19" t="s">
        <v>804</v>
      </c>
      <c r="F52" s="19" t="s">
        <v>1041</v>
      </c>
      <c r="G52" s="19" t="s">
        <v>85</v>
      </c>
      <c r="H52" s="20" t="s">
        <v>1042</v>
      </c>
    </row>
    <row r="53" spans="1:8" ht="23.9" customHeight="1" x14ac:dyDescent="0.35">
      <c r="A53" s="27" t="s">
        <v>1043</v>
      </c>
      <c r="B53" s="33" t="s">
        <v>1044</v>
      </c>
      <c r="C53" s="28" t="s">
        <v>1045</v>
      </c>
      <c r="D53" s="32" t="s">
        <v>1012</v>
      </c>
      <c r="E53" s="27" t="s">
        <v>804</v>
      </c>
      <c r="F53" s="27" t="s">
        <v>1046</v>
      </c>
      <c r="G53" s="27" t="s">
        <v>85</v>
      </c>
      <c r="H53" s="28" t="s">
        <v>1047</v>
      </c>
    </row>
    <row r="54" spans="1:8" ht="15" customHeight="1" x14ac:dyDescent="0.35">
      <c r="A54" s="19" t="s">
        <v>1048</v>
      </c>
      <c r="B54" s="26" t="s">
        <v>1049</v>
      </c>
      <c r="C54" s="20" t="s">
        <v>1050</v>
      </c>
      <c r="D54" s="24" t="s">
        <v>1012</v>
      </c>
      <c r="E54" s="19" t="s">
        <v>804</v>
      </c>
      <c r="F54" s="19" t="s">
        <v>1051</v>
      </c>
      <c r="G54" s="19" t="s">
        <v>85</v>
      </c>
      <c r="H54" s="20" t="s">
        <v>1052</v>
      </c>
    </row>
    <row r="55" spans="1:8" ht="23.9" customHeight="1" x14ac:dyDescent="0.35">
      <c r="A55" s="27" t="s">
        <v>1053</v>
      </c>
      <c r="B55" s="33" t="s">
        <v>204</v>
      </c>
      <c r="C55" s="28" t="s">
        <v>1054</v>
      </c>
      <c r="D55" s="32" t="s">
        <v>1012</v>
      </c>
      <c r="E55" s="27" t="s">
        <v>804</v>
      </c>
      <c r="F55" s="27" t="s">
        <v>1055</v>
      </c>
      <c r="G55" s="27" t="s">
        <v>85</v>
      </c>
      <c r="H55" s="28" t="s">
        <v>1056</v>
      </c>
    </row>
    <row r="56" spans="1:8" ht="15" customHeight="1" x14ac:dyDescent="0.35">
      <c r="A56" s="19" t="s">
        <v>1057</v>
      </c>
      <c r="B56" s="26" t="s">
        <v>1058</v>
      </c>
      <c r="C56" s="20" t="s">
        <v>1059</v>
      </c>
      <c r="D56" s="24" t="s">
        <v>1012</v>
      </c>
      <c r="E56" s="19" t="s">
        <v>804</v>
      </c>
      <c r="F56" s="19" t="s">
        <v>1060</v>
      </c>
      <c r="G56" s="19" t="s">
        <v>85</v>
      </c>
      <c r="H56" s="20" t="s">
        <v>1061</v>
      </c>
    </row>
    <row r="57" spans="1:8" ht="15" customHeight="1" x14ac:dyDescent="0.35">
      <c r="A57" s="27" t="s">
        <v>1062</v>
      </c>
      <c r="B57" s="33" t="s">
        <v>1063</v>
      </c>
      <c r="C57" s="28" t="s">
        <v>1064</v>
      </c>
      <c r="D57" s="32" t="s">
        <v>1012</v>
      </c>
      <c r="E57" s="27" t="s">
        <v>804</v>
      </c>
      <c r="F57" s="27" t="s">
        <v>1065</v>
      </c>
      <c r="G57" s="27" t="s">
        <v>85</v>
      </c>
      <c r="H57" s="28" t="s">
        <v>1066</v>
      </c>
    </row>
    <row r="58" spans="1:8" ht="15" customHeight="1" x14ac:dyDescent="0.35">
      <c r="A58" s="19" t="s">
        <v>1067</v>
      </c>
      <c r="B58" s="26" t="s">
        <v>1068</v>
      </c>
      <c r="C58" s="20" t="s">
        <v>1069</v>
      </c>
      <c r="D58" s="24" t="s">
        <v>1012</v>
      </c>
      <c r="E58" s="19" t="s">
        <v>804</v>
      </c>
      <c r="F58" s="19" t="s">
        <v>1070</v>
      </c>
      <c r="G58" s="19" t="s">
        <v>85</v>
      </c>
      <c r="H58" s="20" t="s">
        <v>1071</v>
      </c>
    </row>
    <row r="59" spans="1:8" ht="15" customHeight="1" x14ac:dyDescent="0.35">
      <c r="A59" s="27" t="s">
        <v>1072</v>
      </c>
      <c r="B59" s="33" t="s">
        <v>1073</v>
      </c>
      <c r="C59" s="28" t="s">
        <v>1074</v>
      </c>
      <c r="D59" s="32" t="s">
        <v>1012</v>
      </c>
      <c r="E59" s="27" t="s">
        <v>804</v>
      </c>
      <c r="F59" s="27" t="s">
        <v>1075</v>
      </c>
      <c r="G59" s="27" t="s">
        <v>85</v>
      </c>
      <c r="H59" s="28" t="s">
        <v>1076</v>
      </c>
    </row>
    <row r="60" spans="1:8" ht="23.9" customHeight="1" x14ac:dyDescent="0.35">
      <c r="A60" s="19" t="s">
        <v>1077</v>
      </c>
      <c r="B60" s="26" t="s">
        <v>213</v>
      </c>
      <c r="C60" s="20" t="s">
        <v>1078</v>
      </c>
      <c r="D60" s="24" t="s">
        <v>1012</v>
      </c>
      <c r="E60" s="19" t="s">
        <v>804</v>
      </c>
      <c r="F60" s="19" t="s">
        <v>1079</v>
      </c>
      <c r="G60" s="19" t="s">
        <v>85</v>
      </c>
      <c r="H60" s="20" t="s">
        <v>1080</v>
      </c>
    </row>
    <row r="61" spans="1:8" ht="15" customHeight="1" x14ac:dyDescent="0.35">
      <c r="A61" s="27" t="s">
        <v>1081</v>
      </c>
      <c r="B61" s="33" t="s">
        <v>1082</v>
      </c>
      <c r="C61" s="28" t="s">
        <v>1083</v>
      </c>
      <c r="D61" s="32" t="s">
        <v>1012</v>
      </c>
      <c r="E61" s="27" t="s">
        <v>804</v>
      </c>
      <c r="F61" s="27" t="s">
        <v>1084</v>
      </c>
      <c r="G61" s="27" t="s">
        <v>85</v>
      </c>
      <c r="H61" s="28" t="s">
        <v>1085</v>
      </c>
    </row>
    <row r="62" spans="1:8" ht="23.9" customHeight="1" x14ac:dyDescent="0.35">
      <c r="A62" s="19" t="s">
        <v>1086</v>
      </c>
      <c r="B62" s="26" t="s">
        <v>220</v>
      </c>
      <c r="C62" s="20" t="s">
        <v>1087</v>
      </c>
      <c r="D62" s="24" t="s">
        <v>1012</v>
      </c>
      <c r="E62" s="19" t="s">
        <v>804</v>
      </c>
      <c r="F62" s="19" t="s">
        <v>1088</v>
      </c>
      <c r="G62" s="19" t="s">
        <v>85</v>
      </c>
      <c r="H62" s="20" t="s">
        <v>1089</v>
      </c>
    </row>
    <row r="63" spans="1:8" ht="15" customHeight="1" x14ac:dyDescent="0.35">
      <c r="A63" s="27" t="s">
        <v>1090</v>
      </c>
      <c r="B63" s="33" t="s">
        <v>1091</v>
      </c>
      <c r="C63" s="28" t="s">
        <v>1092</v>
      </c>
      <c r="D63" s="32" t="s">
        <v>1012</v>
      </c>
      <c r="E63" s="27" t="s">
        <v>804</v>
      </c>
      <c r="F63" s="27" t="s">
        <v>1093</v>
      </c>
      <c r="G63" s="27" t="s">
        <v>85</v>
      </c>
      <c r="H63" s="28" t="s">
        <v>1094</v>
      </c>
    </row>
    <row r="64" spans="1:8" ht="23.9" customHeight="1" x14ac:dyDescent="0.35">
      <c r="A64" s="19" t="s">
        <v>1095</v>
      </c>
      <c r="B64" s="26" t="s">
        <v>1096</v>
      </c>
      <c r="C64" s="20" t="s">
        <v>1097</v>
      </c>
      <c r="D64" s="24" t="s">
        <v>1098</v>
      </c>
      <c r="E64" s="19" t="s">
        <v>1006</v>
      </c>
      <c r="F64" s="19"/>
      <c r="G64" s="19" t="s">
        <v>85</v>
      </c>
      <c r="H64" s="20" t="s">
        <v>830</v>
      </c>
    </row>
    <row r="65" spans="1:8" ht="23.9" customHeight="1" x14ac:dyDescent="0.35">
      <c r="A65" s="27" t="s">
        <v>1099</v>
      </c>
      <c r="B65" s="33" t="s">
        <v>1100</v>
      </c>
      <c r="C65" s="28" t="s">
        <v>1101</v>
      </c>
      <c r="D65" s="32" t="s">
        <v>1012</v>
      </c>
      <c r="E65" s="27" t="s">
        <v>804</v>
      </c>
      <c r="F65" s="27" t="s">
        <v>1102</v>
      </c>
      <c r="G65" s="27" t="s">
        <v>85</v>
      </c>
      <c r="H65" s="28" t="s">
        <v>1103</v>
      </c>
    </row>
    <row r="66" spans="1:8" ht="23.9" customHeight="1" x14ac:dyDescent="0.35">
      <c r="A66" s="19" t="s">
        <v>1104</v>
      </c>
      <c r="B66" s="26" t="s">
        <v>228</v>
      </c>
      <c r="C66" s="20" t="s">
        <v>1105</v>
      </c>
      <c r="D66" s="24" t="s">
        <v>1106</v>
      </c>
      <c r="E66" s="19" t="s">
        <v>804</v>
      </c>
      <c r="F66" s="19" t="s">
        <v>1107</v>
      </c>
      <c r="G66" s="19" t="s">
        <v>85</v>
      </c>
      <c r="H66" s="20" t="s">
        <v>1108</v>
      </c>
    </row>
    <row r="67" spans="1:8" ht="15" customHeight="1" x14ac:dyDescent="0.35">
      <c r="A67" s="27" t="s">
        <v>1109</v>
      </c>
      <c r="B67" s="33" t="s">
        <v>1110</v>
      </c>
      <c r="C67" s="28" t="s">
        <v>1111</v>
      </c>
      <c r="D67" s="32" t="s">
        <v>1106</v>
      </c>
      <c r="E67" s="27" t="s">
        <v>804</v>
      </c>
      <c r="F67" s="27" t="s">
        <v>1112</v>
      </c>
      <c r="G67" s="27" t="s">
        <v>85</v>
      </c>
      <c r="H67" s="28" t="s">
        <v>1113</v>
      </c>
    </row>
    <row r="68" spans="1:8" ht="23.9" customHeight="1" x14ac:dyDescent="0.35">
      <c r="A68" s="19" t="s">
        <v>1114</v>
      </c>
      <c r="B68" s="26" t="s">
        <v>238</v>
      </c>
      <c r="C68" s="20" t="s">
        <v>1115</v>
      </c>
      <c r="D68" s="24" t="s">
        <v>1106</v>
      </c>
      <c r="E68" s="19" t="s">
        <v>804</v>
      </c>
      <c r="F68" s="19" t="s">
        <v>1116</v>
      </c>
      <c r="G68" s="19" t="s">
        <v>85</v>
      </c>
      <c r="H68" s="20" t="s">
        <v>1117</v>
      </c>
    </row>
    <row r="69" spans="1:8" ht="23.9" customHeight="1" x14ac:dyDescent="0.35">
      <c r="A69" s="27" t="s">
        <v>1118</v>
      </c>
      <c r="B69" s="33" t="s">
        <v>247</v>
      </c>
      <c r="C69" s="28" t="s">
        <v>1119</v>
      </c>
      <c r="D69" s="32" t="s">
        <v>1120</v>
      </c>
      <c r="E69" s="27" t="s">
        <v>804</v>
      </c>
      <c r="F69" s="27" t="s">
        <v>1121</v>
      </c>
      <c r="G69" s="27" t="s">
        <v>85</v>
      </c>
      <c r="H69" s="28" t="s">
        <v>1122</v>
      </c>
    </row>
    <row r="70" spans="1:8" ht="23.9" customHeight="1" x14ac:dyDescent="0.35">
      <c r="A70" s="19" t="s">
        <v>1123</v>
      </c>
      <c r="B70" s="26" t="s">
        <v>1124</v>
      </c>
      <c r="C70" s="20" t="s">
        <v>1125</v>
      </c>
      <c r="D70" s="24" t="s">
        <v>1120</v>
      </c>
      <c r="E70" s="19" t="s">
        <v>804</v>
      </c>
      <c r="F70" s="19" t="s">
        <v>1126</v>
      </c>
      <c r="G70" s="19" t="s">
        <v>85</v>
      </c>
      <c r="H70" s="20" t="s">
        <v>1127</v>
      </c>
    </row>
    <row r="71" spans="1:8" ht="23.9" customHeight="1" x14ac:dyDescent="0.35">
      <c r="A71" s="27" t="s">
        <v>1128</v>
      </c>
      <c r="B71" s="33" t="s">
        <v>1129</v>
      </c>
      <c r="C71" s="28" t="s">
        <v>1130</v>
      </c>
      <c r="D71" s="32" t="s">
        <v>1120</v>
      </c>
      <c r="E71" s="27" t="s">
        <v>804</v>
      </c>
      <c r="F71" s="27" t="s">
        <v>1131</v>
      </c>
      <c r="G71" s="27" t="s">
        <v>85</v>
      </c>
      <c r="H71" s="28" t="s">
        <v>1132</v>
      </c>
    </row>
    <row r="72" spans="1:8" ht="15" customHeight="1" x14ac:dyDescent="0.35">
      <c r="A72" s="19" t="s">
        <v>1133</v>
      </c>
      <c r="B72" s="26" t="s">
        <v>255</v>
      </c>
      <c r="C72" s="20" t="s">
        <v>1134</v>
      </c>
      <c r="D72" s="24" t="s">
        <v>1120</v>
      </c>
      <c r="E72" s="19" t="s">
        <v>804</v>
      </c>
      <c r="F72" s="19" t="s">
        <v>1135</v>
      </c>
      <c r="G72" s="19" t="s">
        <v>85</v>
      </c>
      <c r="H72" s="20" t="s">
        <v>1136</v>
      </c>
    </row>
    <row r="73" spans="1:8" ht="23.9" customHeight="1" x14ac:dyDescent="0.35">
      <c r="A73" s="27" t="s">
        <v>1137</v>
      </c>
      <c r="B73" s="33" t="s">
        <v>1138</v>
      </c>
      <c r="C73" s="28" t="s">
        <v>1139</v>
      </c>
      <c r="D73" s="32" t="s">
        <v>1120</v>
      </c>
      <c r="E73" s="27" t="s">
        <v>804</v>
      </c>
      <c r="F73" s="27" t="s">
        <v>1140</v>
      </c>
      <c r="G73" s="27" t="s">
        <v>85</v>
      </c>
      <c r="H73" s="28" t="s">
        <v>1141</v>
      </c>
    </row>
    <row r="74" spans="1:8" ht="35" customHeight="1" x14ac:dyDescent="0.35">
      <c r="A74" s="19" t="s">
        <v>1142</v>
      </c>
      <c r="B74" s="26" t="s">
        <v>435</v>
      </c>
      <c r="C74" s="20" t="s">
        <v>1143</v>
      </c>
      <c r="D74" s="24" t="s">
        <v>1120</v>
      </c>
      <c r="E74" s="19" t="s">
        <v>804</v>
      </c>
      <c r="F74" s="19" t="s">
        <v>1144</v>
      </c>
      <c r="G74" s="19" t="s">
        <v>85</v>
      </c>
      <c r="H74" s="20" t="s">
        <v>1145</v>
      </c>
    </row>
    <row r="75" spans="1:8" ht="23.9" customHeight="1" x14ac:dyDescent="0.35">
      <c r="A75" s="27" t="s">
        <v>1146</v>
      </c>
      <c r="B75" s="33" t="s">
        <v>1147</v>
      </c>
      <c r="C75" s="28" t="s">
        <v>1148</v>
      </c>
      <c r="D75" s="32" t="s">
        <v>1106</v>
      </c>
      <c r="E75" s="27" t="s">
        <v>804</v>
      </c>
      <c r="F75" s="27" t="s">
        <v>1149</v>
      </c>
      <c r="G75" s="27" t="s">
        <v>85</v>
      </c>
      <c r="H75" s="28" t="s">
        <v>1150</v>
      </c>
    </row>
    <row r="76" spans="1:8" ht="23.9" customHeight="1" x14ac:dyDescent="0.35">
      <c r="A76" s="19" t="s">
        <v>1151</v>
      </c>
      <c r="B76" s="26" t="s">
        <v>1152</v>
      </c>
      <c r="C76" s="20" t="s">
        <v>1153</v>
      </c>
      <c r="D76" s="24" t="s">
        <v>1106</v>
      </c>
      <c r="E76" s="19" t="s">
        <v>804</v>
      </c>
      <c r="F76" s="19" t="s">
        <v>1154</v>
      </c>
      <c r="G76" s="19" t="s">
        <v>85</v>
      </c>
      <c r="H76" s="20" t="s">
        <v>1155</v>
      </c>
    </row>
    <row r="77" spans="1:8" ht="15" customHeight="1" x14ac:dyDescent="0.35">
      <c r="A77" s="27" t="s">
        <v>1156</v>
      </c>
      <c r="B77" s="33" t="s">
        <v>1157</v>
      </c>
      <c r="C77" s="28" t="s">
        <v>1158</v>
      </c>
      <c r="D77" s="32" t="s">
        <v>1159</v>
      </c>
      <c r="E77" s="27" t="s">
        <v>1006</v>
      </c>
      <c r="F77" s="27"/>
      <c r="G77" s="27" t="s">
        <v>85</v>
      </c>
      <c r="H77" s="28" t="s">
        <v>830</v>
      </c>
    </row>
    <row r="78" spans="1:8" ht="15" customHeight="1" x14ac:dyDescent="0.35">
      <c r="A78" s="19" t="s">
        <v>1160</v>
      </c>
      <c r="B78" s="26" t="s">
        <v>1161</v>
      </c>
      <c r="C78" s="20" t="s">
        <v>1162</v>
      </c>
      <c r="D78" s="24" t="s">
        <v>1163</v>
      </c>
      <c r="E78" s="19" t="s">
        <v>804</v>
      </c>
      <c r="F78" s="19" t="s">
        <v>1164</v>
      </c>
      <c r="G78" s="19" t="s">
        <v>85</v>
      </c>
      <c r="H78" s="20" t="s">
        <v>1165</v>
      </c>
    </row>
    <row r="79" spans="1:8" ht="23.9" customHeight="1" x14ac:dyDescent="0.35">
      <c r="A79" s="27" t="s">
        <v>1166</v>
      </c>
      <c r="B79" s="33" t="s">
        <v>1167</v>
      </c>
      <c r="C79" s="28" t="s">
        <v>1168</v>
      </c>
      <c r="D79" s="32" t="s">
        <v>1163</v>
      </c>
      <c r="E79" s="27" t="s">
        <v>804</v>
      </c>
      <c r="F79" s="27" t="s">
        <v>1169</v>
      </c>
      <c r="G79" s="27" t="s">
        <v>85</v>
      </c>
      <c r="H79" s="28" t="s">
        <v>1170</v>
      </c>
    </row>
    <row r="80" spans="1:8" ht="23.9" customHeight="1" x14ac:dyDescent="0.35">
      <c r="A80" s="19" t="s">
        <v>1171</v>
      </c>
      <c r="B80" s="26" t="s">
        <v>263</v>
      </c>
      <c r="C80" s="20" t="s">
        <v>1172</v>
      </c>
      <c r="D80" s="24" t="s">
        <v>1163</v>
      </c>
      <c r="E80" s="19" t="s">
        <v>804</v>
      </c>
      <c r="F80" s="19" t="s">
        <v>1173</v>
      </c>
      <c r="G80" s="19" t="s">
        <v>85</v>
      </c>
      <c r="H80" s="20" t="s">
        <v>1174</v>
      </c>
    </row>
    <row r="81" spans="1:8" ht="15" customHeight="1" x14ac:dyDescent="0.35">
      <c r="A81" s="27" t="s">
        <v>1175</v>
      </c>
      <c r="B81" s="33" t="s">
        <v>1176</v>
      </c>
      <c r="C81" s="28" t="s">
        <v>1177</v>
      </c>
      <c r="D81" s="32" t="s">
        <v>1163</v>
      </c>
      <c r="E81" s="27" t="s">
        <v>804</v>
      </c>
      <c r="F81" s="27" t="s">
        <v>1178</v>
      </c>
      <c r="G81" s="27" t="s">
        <v>85</v>
      </c>
      <c r="H81" s="28" t="s">
        <v>1179</v>
      </c>
    </row>
    <row r="82" spans="1:8" ht="15" customHeight="1" x14ac:dyDescent="0.35">
      <c r="A82" s="19" t="s">
        <v>1180</v>
      </c>
      <c r="B82" s="26" t="s">
        <v>1181</v>
      </c>
      <c r="C82" s="20" t="s">
        <v>1182</v>
      </c>
      <c r="D82" s="24" t="s">
        <v>1163</v>
      </c>
      <c r="E82" s="19" t="s">
        <v>804</v>
      </c>
      <c r="F82" s="19" t="s">
        <v>1183</v>
      </c>
      <c r="G82" s="19" t="s">
        <v>85</v>
      </c>
      <c r="H82" s="20" t="s">
        <v>1184</v>
      </c>
    </row>
    <row r="83" spans="1:8" ht="15" customHeight="1" x14ac:dyDescent="0.35">
      <c r="A83" s="27" t="s">
        <v>1185</v>
      </c>
      <c r="B83" s="33" t="s">
        <v>1186</v>
      </c>
      <c r="C83" s="28" t="s">
        <v>1187</v>
      </c>
      <c r="D83" s="32" t="s">
        <v>1163</v>
      </c>
      <c r="E83" s="27" t="s">
        <v>804</v>
      </c>
      <c r="F83" s="27" t="s">
        <v>1188</v>
      </c>
      <c r="G83" s="27" t="s">
        <v>85</v>
      </c>
      <c r="H83" s="28" t="s">
        <v>1189</v>
      </c>
    </row>
    <row r="84" spans="1:8" ht="35" customHeight="1" x14ac:dyDescent="0.35">
      <c r="A84" s="19" t="s">
        <v>1190</v>
      </c>
      <c r="B84" s="26" t="s">
        <v>1191</v>
      </c>
      <c r="C84" s="20" t="s">
        <v>1192</v>
      </c>
      <c r="D84" s="24" t="s">
        <v>1163</v>
      </c>
      <c r="E84" s="19" t="s">
        <v>804</v>
      </c>
      <c r="F84" s="19" t="s">
        <v>1193</v>
      </c>
      <c r="G84" s="19" t="s">
        <v>85</v>
      </c>
      <c r="H84" s="20" t="s">
        <v>1194</v>
      </c>
    </row>
    <row r="85" spans="1:8" ht="15" customHeight="1" x14ac:dyDescent="0.35">
      <c r="A85" s="27" t="s">
        <v>1195</v>
      </c>
      <c r="B85" s="33" t="s">
        <v>1196</v>
      </c>
      <c r="C85" s="28" t="s">
        <v>1197</v>
      </c>
      <c r="D85" s="32" t="s">
        <v>1163</v>
      </c>
      <c r="E85" s="27" t="s">
        <v>804</v>
      </c>
      <c r="F85" s="27" t="s">
        <v>1198</v>
      </c>
      <c r="G85" s="27" t="s">
        <v>85</v>
      </c>
      <c r="H85" s="28" t="s">
        <v>1199</v>
      </c>
    </row>
    <row r="86" spans="1:8" ht="35" customHeight="1" x14ac:dyDescent="0.35">
      <c r="A86" s="19" t="s">
        <v>1200</v>
      </c>
      <c r="B86" s="26" t="s">
        <v>1201</v>
      </c>
      <c r="C86" s="20" t="s">
        <v>1202</v>
      </c>
      <c r="D86" s="24" t="s">
        <v>1163</v>
      </c>
      <c r="E86" s="19" t="s">
        <v>804</v>
      </c>
      <c r="F86" s="19" t="s">
        <v>1203</v>
      </c>
      <c r="G86" s="19" t="s">
        <v>85</v>
      </c>
      <c r="H86" s="20" t="s">
        <v>1204</v>
      </c>
    </row>
    <row r="87" spans="1:8" ht="15" customHeight="1" x14ac:dyDescent="0.35">
      <c r="A87" s="27" t="s">
        <v>1205</v>
      </c>
      <c r="B87" s="33" t="s">
        <v>1206</v>
      </c>
      <c r="C87" s="28" t="s">
        <v>1207</v>
      </c>
      <c r="D87" s="32" t="s">
        <v>1163</v>
      </c>
      <c r="E87" s="27" t="s">
        <v>804</v>
      </c>
      <c r="F87" s="27" t="s">
        <v>1208</v>
      </c>
      <c r="G87" s="27" t="s">
        <v>85</v>
      </c>
      <c r="H87" s="28" t="s">
        <v>1209</v>
      </c>
    </row>
    <row r="88" spans="1:8" ht="23.9" customHeight="1" x14ac:dyDescent="0.35">
      <c r="A88" s="19" t="s">
        <v>1210</v>
      </c>
      <c r="B88" s="26" t="s">
        <v>1211</v>
      </c>
      <c r="C88" s="20" t="s">
        <v>1212</v>
      </c>
      <c r="D88" s="24" t="s">
        <v>1098</v>
      </c>
      <c r="E88" s="19" t="s">
        <v>1006</v>
      </c>
      <c r="F88" s="19"/>
      <c r="G88" s="19" t="s">
        <v>85</v>
      </c>
      <c r="H88" s="20" t="s">
        <v>830</v>
      </c>
    </row>
    <row r="89" spans="1:8" ht="15" customHeight="1" x14ac:dyDescent="0.35">
      <c r="A89" s="27" t="s">
        <v>1213</v>
      </c>
      <c r="B89" s="33" t="s">
        <v>1214</v>
      </c>
      <c r="C89" s="28" t="s">
        <v>1215</v>
      </c>
      <c r="D89" s="32" t="s">
        <v>1216</v>
      </c>
      <c r="E89" s="27" t="s">
        <v>1006</v>
      </c>
      <c r="F89" s="27" t="s">
        <v>1217</v>
      </c>
      <c r="G89" s="27" t="s">
        <v>85</v>
      </c>
      <c r="H89" s="28" t="s">
        <v>830</v>
      </c>
    </row>
    <row r="90" spans="1:8" ht="23.9" customHeight="1" x14ac:dyDescent="0.35">
      <c r="A90" s="19" t="s">
        <v>1218</v>
      </c>
      <c r="B90" s="26" t="s">
        <v>1219</v>
      </c>
      <c r="C90" s="20" t="s">
        <v>1220</v>
      </c>
      <c r="D90" s="24" t="s">
        <v>1221</v>
      </c>
      <c r="E90" s="19" t="s">
        <v>804</v>
      </c>
      <c r="F90" s="19" t="s">
        <v>1222</v>
      </c>
      <c r="G90" s="19" t="s">
        <v>85</v>
      </c>
      <c r="H90" s="20" t="s">
        <v>1223</v>
      </c>
    </row>
    <row r="91" spans="1:8" ht="23.9" customHeight="1" x14ac:dyDescent="0.35">
      <c r="A91" s="27" t="s">
        <v>1224</v>
      </c>
      <c r="B91" s="33" t="s">
        <v>1225</v>
      </c>
      <c r="C91" s="28" t="s">
        <v>1226</v>
      </c>
      <c r="D91" s="32" t="s">
        <v>1221</v>
      </c>
      <c r="E91" s="27" t="s">
        <v>804</v>
      </c>
      <c r="F91" s="27" t="s">
        <v>1227</v>
      </c>
      <c r="G91" s="27" t="s">
        <v>85</v>
      </c>
      <c r="H91" s="28" t="s">
        <v>1228</v>
      </c>
    </row>
    <row r="92" spans="1:8" ht="23.9" customHeight="1" x14ac:dyDescent="0.35">
      <c r="A92" s="19" t="s">
        <v>1229</v>
      </c>
      <c r="B92" s="26" t="s">
        <v>279</v>
      </c>
      <c r="C92" s="20" t="s">
        <v>1230</v>
      </c>
      <c r="D92" s="24" t="s">
        <v>1221</v>
      </c>
      <c r="E92" s="19" t="s">
        <v>804</v>
      </c>
      <c r="F92" s="19" t="s">
        <v>1231</v>
      </c>
      <c r="G92" s="19" t="s">
        <v>85</v>
      </c>
      <c r="H92" s="20" t="s">
        <v>1232</v>
      </c>
    </row>
    <row r="93" spans="1:8" ht="15" customHeight="1" x14ac:dyDescent="0.35">
      <c r="A93" s="27" t="s">
        <v>1233</v>
      </c>
      <c r="B93" s="33" t="s">
        <v>1234</v>
      </c>
      <c r="C93" s="28" t="s">
        <v>1235</v>
      </c>
      <c r="D93" s="32" t="s">
        <v>1221</v>
      </c>
      <c r="E93" s="27" t="s">
        <v>804</v>
      </c>
      <c r="F93" s="27" t="s">
        <v>1236</v>
      </c>
      <c r="G93" s="27" t="s">
        <v>85</v>
      </c>
      <c r="H93" s="28" t="s">
        <v>1237</v>
      </c>
    </row>
    <row r="94" spans="1:8" ht="23.9" customHeight="1" x14ac:dyDescent="0.35">
      <c r="A94" s="19" t="s">
        <v>1238</v>
      </c>
      <c r="B94" s="26" t="s">
        <v>1239</v>
      </c>
      <c r="C94" s="20" t="s">
        <v>1240</v>
      </c>
      <c r="D94" s="24" t="s">
        <v>1221</v>
      </c>
      <c r="E94" s="19" t="s">
        <v>804</v>
      </c>
      <c r="F94" s="19" t="s">
        <v>1241</v>
      </c>
      <c r="G94" s="19" t="s">
        <v>85</v>
      </c>
      <c r="H94" s="20" t="s">
        <v>1242</v>
      </c>
    </row>
    <row r="95" spans="1:8" ht="15" customHeight="1" x14ac:dyDescent="0.35">
      <c r="A95" s="27" t="s">
        <v>1243</v>
      </c>
      <c r="B95" s="33" t="s">
        <v>286</v>
      </c>
      <c r="C95" s="28" t="s">
        <v>1244</v>
      </c>
      <c r="D95" s="32" t="s">
        <v>1221</v>
      </c>
      <c r="E95" s="27" t="s">
        <v>804</v>
      </c>
      <c r="F95" s="27" t="s">
        <v>1245</v>
      </c>
      <c r="G95" s="27" t="s">
        <v>85</v>
      </c>
      <c r="H95" s="28" t="s">
        <v>1246</v>
      </c>
    </row>
    <row r="96" spans="1:8" ht="15" customHeight="1" x14ac:dyDescent="0.35">
      <c r="A96" s="19" t="s">
        <v>1247</v>
      </c>
      <c r="B96" s="26" t="s">
        <v>1248</v>
      </c>
      <c r="C96" s="20" t="s">
        <v>1249</v>
      </c>
      <c r="D96" s="24" t="s">
        <v>1221</v>
      </c>
      <c r="E96" s="19" t="s">
        <v>804</v>
      </c>
      <c r="F96" s="19" t="s">
        <v>1250</v>
      </c>
      <c r="G96" s="19" t="s">
        <v>85</v>
      </c>
      <c r="H96" s="20" t="s">
        <v>1251</v>
      </c>
    </row>
    <row r="97" spans="1:8" ht="15" customHeight="1" x14ac:dyDescent="0.35">
      <c r="A97" s="27" t="s">
        <v>1252</v>
      </c>
      <c r="B97" s="33" t="s">
        <v>293</v>
      </c>
      <c r="C97" s="28" t="s">
        <v>1253</v>
      </c>
      <c r="D97" s="32" t="s">
        <v>1221</v>
      </c>
      <c r="E97" s="27" t="s">
        <v>804</v>
      </c>
      <c r="F97" s="27" t="s">
        <v>1254</v>
      </c>
      <c r="G97" s="27" t="s">
        <v>85</v>
      </c>
      <c r="H97" s="28" t="s">
        <v>1255</v>
      </c>
    </row>
    <row r="98" spans="1:8" ht="35" customHeight="1" x14ac:dyDescent="0.35">
      <c r="A98" s="19" t="s">
        <v>1256</v>
      </c>
      <c r="B98" s="26" t="s">
        <v>1257</v>
      </c>
      <c r="C98" s="20" t="s">
        <v>1258</v>
      </c>
      <c r="D98" s="24" t="s">
        <v>1221</v>
      </c>
      <c r="E98" s="19" t="s">
        <v>804</v>
      </c>
      <c r="F98" s="19" t="s">
        <v>1259</v>
      </c>
      <c r="G98" s="19" t="s">
        <v>85</v>
      </c>
      <c r="H98" s="20" t="s">
        <v>1260</v>
      </c>
    </row>
    <row r="99" spans="1:8" ht="23.9" customHeight="1" x14ac:dyDescent="0.35">
      <c r="A99" s="27" t="s">
        <v>1261</v>
      </c>
      <c r="B99" s="33" t="s">
        <v>1262</v>
      </c>
      <c r="C99" s="28" t="s">
        <v>1263</v>
      </c>
      <c r="D99" s="32" t="s">
        <v>1264</v>
      </c>
      <c r="E99" s="27" t="s">
        <v>1006</v>
      </c>
      <c r="F99" s="27" t="s">
        <v>1265</v>
      </c>
      <c r="G99" s="27" t="s">
        <v>85</v>
      </c>
      <c r="H99" s="28" t="s">
        <v>830</v>
      </c>
    </row>
    <row r="100" spans="1:8" ht="15" customHeight="1" x14ac:dyDescent="0.35">
      <c r="A100" s="19" t="s">
        <v>1266</v>
      </c>
      <c r="B100" s="26" t="s">
        <v>1267</v>
      </c>
      <c r="C100" s="20" t="s">
        <v>1268</v>
      </c>
      <c r="D100" s="24" t="s">
        <v>1269</v>
      </c>
      <c r="E100" s="19" t="s">
        <v>1006</v>
      </c>
      <c r="F100" s="19" t="s">
        <v>1254</v>
      </c>
      <c r="G100" s="19" t="s">
        <v>85</v>
      </c>
      <c r="H100" s="20" t="s">
        <v>830</v>
      </c>
    </row>
    <row r="101" spans="1:8" ht="15" customHeight="1" x14ac:dyDescent="0.35">
      <c r="A101" s="27" t="s">
        <v>1270</v>
      </c>
      <c r="B101" s="33" t="s">
        <v>301</v>
      </c>
      <c r="C101" s="28" t="s">
        <v>1271</v>
      </c>
      <c r="D101" s="32" t="s">
        <v>1272</v>
      </c>
      <c r="E101" s="27" t="s">
        <v>804</v>
      </c>
      <c r="F101" s="27" t="s">
        <v>1273</v>
      </c>
      <c r="G101" s="27" t="s">
        <v>85</v>
      </c>
      <c r="H101" s="28" t="s">
        <v>1274</v>
      </c>
    </row>
    <row r="102" spans="1:8" ht="15" customHeight="1" x14ac:dyDescent="0.35">
      <c r="A102" s="19" t="s">
        <v>1275</v>
      </c>
      <c r="B102" s="26" t="s">
        <v>1276</v>
      </c>
      <c r="C102" s="20" t="s">
        <v>1277</v>
      </c>
      <c r="D102" s="24" t="s">
        <v>1272</v>
      </c>
      <c r="E102" s="19" t="s">
        <v>804</v>
      </c>
      <c r="F102" s="19" t="s">
        <v>1278</v>
      </c>
      <c r="G102" s="19" t="s">
        <v>85</v>
      </c>
      <c r="H102" s="20" t="s">
        <v>1279</v>
      </c>
    </row>
    <row r="103" spans="1:8" ht="15" customHeight="1" x14ac:dyDescent="0.35">
      <c r="A103" s="27" t="s">
        <v>1280</v>
      </c>
      <c r="B103" s="33" t="s">
        <v>310</v>
      </c>
      <c r="C103" s="28" t="s">
        <v>1281</v>
      </c>
      <c r="D103" s="32" t="s">
        <v>1282</v>
      </c>
      <c r="E103" s="27" t="s">
        <v>804</v>
      </c>
      <c r="F103" s="27" t="s">
        <v>1116</v>
      </c>
      <c r="G103" s="27" t="s">
        <v>85</v>
      </c>
      <c r="H103" s="28" t="s">
        <v>1283</v>
      </c>
    </row>
    <row r="104" spans="1:8" ht="15" customHeight="1" x14ac:dyDescent="0.35">
      <c r="A104" s="19" t="s">
        <v>1284</v>
      </c>
      <c r="B104" s="26" t="s">
        <v>1285</v>
      </c>
      <c r="C104" s="20" t="s">
        <v>1286</v>
      </c>
      <c r="D104" s="24" t="s">
        <v>1282</v>
      </c>
      <c r="E104" s="19" t="s">
        <v>804</v>
      </c>
      <c r="F104" s="19" t="s">
        <v>1287</v>
      </c>
      <c r="G104" s="19" t="s">
        <v>85</v>
      </c>
      <c r="H104" s="20" t="s">
        <v>1288</v>
      </c>
    </row>
    <row r="105" spans="1:8" ht="15" customHeight="1" x14ac:dyDescent="0.35">
      <c r="A105" s="27" t="s">
        <v>1289</v>
      </c>
      <c r="B105" s="33" t="s">
        <v>318</v>
      </c>
      <c r="C105" s="28" t="s">
        <v>1290</v>
      </c>
      <c r="D105" s="32" t="s">
        <v>1291</v>
      </c>
      <c r="E105" s="27" t="s">
        <v>804</v>
      </c>
      <c r="F105" s="27" t="s">
        <v>1292</v>
      </c>
      <c r="G105" s="27" t="s">
        <v>85</v>
      </c>
      <c r="H105" s="28" t="s">
        <v>1293</v>
      </c>
    </row>
    <row r="106" spans="1:8" ht="23.9" customHeight="1" x14ac:dyDescent="0.35">
      <c r="A106" s="19" t="s">
        <v>1294</v>
      </c>
      <c r="B106" s="26" t="s">
        <v>1295</v>
      </c>
      <c r="C106" s="20" t="s">
        <v>1296</v>
      </c>
      <c r="D106" s="24" t="s">
        <v>1291</v>
      </c>
      <c r="E106" s="19" t="s">
        <v>804</v>
      </c>
      <c r="F106" s="19" t="s">
        <v>1292</v>
      </c>
      <c r="G106" s="19" t="s">
        <v>85</v>
      </c>
      <c r="H106" s="20" t="s">
        <v>1297</v>
      </c>
    </row>
    <row r="107" spans="1:8" ht="23.9" customHeight="1" x14ac:dyDescent="0.35">
      <c r="A107" s="27" t="s">
        <v>1298</v>
      </c>
      <c r="B107" s="33" t="s">
        <v>1299</v>
      </c>
      <c r="C107" s="28" t="s">
        <v>1300</v>
      </c>
      <c r="D107" s="32" t="s">
        <v>1291</v>
      </c>
      <c r="E107" s="27" t="s">
        <v>804</v>
      </c>
      <c r="F107" s="27" t="s">
        <v>1301</v>
      </c>
      <c r="G107" s="27" t="s">
        <v>85</v>
      </c>
      <c r="H107" s="28" t="s">
        <v>1302</v>
      </c>
    </row>
    <row r="108" spans="1:8" ht="35" customHeight="1" x14ac:dyDescent="0.35">
      <c r="A108" s="19" t="s">
        <v>1303</v>
      </c>
      <c r="B108" s="26" t="s">
        <v>1304</v>
      </c>
      <c r="C108" s="20" t="s">
        <v>1305</v>
      </c>
      <c r="D108" s="24" t="s">
        <v>1306</v>
      </c>
      <c r="E108" s="19" t="s">
        <v>804</v>
      </c>
      <c r="F108" s="19" t="s">
        <v>1307</v>
      </c>
      <c r="G108" s="19" t="s">
        <v>85</v>
      </c>
      <c r="H108" s="20" t="s">
        <v>1308</v>
      </c>
    </row>
    <row r="109" spans="1:8" ht="35" customHeight="1" x14ac:dyDescent="0.35">
      <c r="A109" s="27" t="s">
        <v>1309</v>
      </c>
      <c r="B109" s="33" t="s">
        <v>1310</v>
      </c>
      <c r="C109" s="28" t="s">
        <v>1311</v>
      </c>
      <c r="D109" s="32" t="s">
        <v>1312</v>
      </c>
      <c r="E109" s="27" t="s">
        <v>804</v>
      </c>
      <c r="F109" s="27" t="s">
        <v>1313</v>
      </c>
      <c r="G109" s="27" t="s">
        <v>85</v>
      </c>
      <c r="H109" s="28" t="s">
        <v>1314</v>
      </c>
    </row>
    <row r="110" spans="1:8" ht="23.9" customHeight="1" x14ac:dyDescent="0.35">
      <c r="A110" s="19" t="s">
        <v>1315</v>
      </c>
      <c r="B110" s="26" t="s">
        <v>1316</v>
      </c>
      <c r="C110" s="20" t="s">
        <v>1317</v>
      </c>
      <c r="D110" s="24" t="s">
        <v>1291</v>
      </c>
      <c r="E110" s="19" t="s">
        <v>804</v>
      </c>
      <c r="F110" s="19" t="s">
        <v>1318</v>
      </c>
      <c r="G110" s="19" t="s">
        <v>85</v>
      </c>
      <c r="H110" s="20" t="s">
        <v>1319</v>
      </c>
    </row>
    <row r="111" spans="1:8" ht="23.9" customHeight="1" x14ac:dyDescent="0.35">
      <c r="A111" s="27" t="s">
        <v>1320</v>
      </c>
      <c r="B111" s="33" t="s">
        <v>328</v>
      </c>
      <c r="C111" s="28" t="s">
        <v>1321</v>
      </c>
      <c r="D111" s="32" t="s">
        <v>1322</v>
      </c>
      <c r="E111" s="27" t="s">
        <v>804</v>
      </c>
      <c r="F111" s="27" t="s">
        <v>1323</v>
      </c>
      <c r="G111" s="27" t="s">
        <v>85</v>
      </c>
      <c r="H111" s="28" t="s">
        <v>1324</v>
      </c>
    </row>
    <row r="112" spans="1:8" ht="23.9" customHeight="1" x14ac:dyDescent="0.35">
      <c r="A112" s="19" t="s">
        <v>1325</v>
      </c>
      <c r="B112" s="26" t="s">
        <v>1326</v>
      </c>
      <c r="C112" s="20" t="s">
        <v>1327</v>
      </c>
      <c r="D112" s="24" t="s">
        <v>1322</v>
      </c>
      <c r="E112" s="19" t="s">
        <v>804</v>
      </c>
      <c r="F112" s="19" t="s">
        <v>1328</v>
      </c>
      <c r="G112" s="19" t="s">
        <v>85</v>
      </c>
      <c r="H112" s="20" t="s">
        <v>1329</v>
      </c>
    </row>
    <row r="113" spans="1:8" ht="23.9" customHeight="1" x14ac:dyDescent="0.35">
      <c r="A113" s="27" t="s">
        <v>1330</v>
      </c>
      <c r="B113" s="33" t="s">
        <v>336</v>
      </c>
      <c r="C113" s="28" t="s">
        <v>1331</v>
      </c>
      <c r="D113" s="32" t="s">
        <v>1332</v>
      </c>
      <c r="E113" s="27" t="s">
        <v>1006</v>
      </c>
      <c r="F113" s="27"/>
      <c r="G113" s="27" t="s">
        <v>85</v>
      </c>
      <c r="H113" s="28" t="s">
        <v>830</v>
      </c>
    </row>
    <row r="114" spans="1:8" ht="15" customHeight="1" x14ac:dyDescent="0.35">
      <c r="A114" s="19" t="s">
        <v>1333</v>
      </c>
      <c r="B114" s="26" t="s">
        <v>1334</v>
      </c>
      <c r="C114" s="20" t="s">
        <v>1335</v>
      </c>
      <c r="D114" s="24" t="s">
        <v>1336</v>
      </c>
      <c r="E114" s="19" t="s">
        <v>1337</v>
      </c>
      <c r="F114" s="19"/>
      <c r="G114" s="19" t="s">
        <v>85</v>
      </c>
      <c r="H114" s="20" t="s">
        <v>830</v>
      </c>
    </row>
    <row r="115" spans="1:8" ht="23.9" customHeight="1" x14ac:dyDescent="0.35">
      <c r="A115" s="27" t="s">
        <v>1338</v>
      </c>
      <c r="B115" s="33" t="s">
        <v>343</v>
      </c>
      <c r="C115" s="28" t="s">
        <v>1339</v>
      </c>
      <c r="D115" s="32" t="s">
        <v>1340</v>
      </c>
      <c r="E115" s="27" t="s">
        <v>1006</v>
      </c>
      <c r="F115" s="27"/>
      <c r="G115" s="27" t="s">
        <v>85</v>
      </c>
      <c r="H115" s="28" t="s">
        <v>830</v>
      </c>
    </row>
    <row r="116" spans="1:8" ht="23.9" customHeight="1" x14ac:dyDescent="0.35">
      <c r="A116" s="19" t="s">
        <v>1341</v>
      </c>
      <c r="B116" s="26" t="s">
        <v>1342</v>
      </c>
      <c r="C116" s="20" t="s">
        <v>1343</v>
      </c>
      <c r="D116" s="24" t="s">
        <v>1344</v>
      </c>
      <c r="E116" s="19" t="s">
        <v>1006</v>
      </c>
      <c r="F116" s="19"/>
      <c r="G116" s="19" t="s">
        <v>85</v>
      </c>
      <c r="H116" s="20" t="s">
        <v>830</v>
      </c>
    </row>
    <row r="117" spans="1:8" ht="23.9" customHeight="1" x14ac:dyDescent="0.35">
      <c r="A117" s="27" t="s">
        <v>1345</v>
      </c>
      <c r="B117" s="33" t="s">
        <v>523</v>
      </c>
      <c r="C117" s="28" t="s">
        <v>1346</v>
      </c>
      <c r="D117" s="32" t="s">
        <v>1347</v>
      </c>
      <c r="E117" s="27" t="s">
        <v>804</v>
      </c>
      <c r="F117" s="27" t="s">
        <v>1348</v>
      </c>
      <c r="G117" s="27" t="s">
        <v>85</v>
      </c>
      <c r="H117" s="28" t="s">
        <v>1349</v>
      </c>
    </row>
    <row r="118" spans="1:8" ht="15" customHeight="1" x14ac:dyDescent="0.35">
      <c r="A118" s="19" t="s">
        <v>1350</v>
      </c>
      <c r="B118" s="26" t="s">
        <v>447</v>
      </c>
      <c r="C118" s="20" t="s">
        <v>1351</v>
      </c>
      <c r="D118" s="24" t="s">
        <v>223</v>
      </c>
      <c r="E118" s="19" t="s">
        <v>804</v>
      </c>
      <c r="F118" s="19" t="s">
        <v>1352</v>
      </c>
      <c r="G118" s="19" t="s">
        <v>85</v>
      </c>
      <c r="H118" s="20" t="s">
        <v>830</v>
      </c>
    </row>
    <row r="119" spans="1:8" ht="23.9" customHeight="1" x14ac:dyDescent="0.35">
      <c r="A119" s="27" t="s">
        <v>1353</v>
      </c>
      <c r="B119" s="33" t="s">
        <v>386</v>
      </c>
      <c r="C119" s="28" t="s">
        <v>1354</v>
      </c>
      <c r="D119" s="32" t="s">
        <v>172</v>
      </c>
      <c r="E119" s="27" t="s">
        <v>804</v>
      </c>
      <c r="F119" s="27"/>
      <c r="G119" s="27" t="s">
        <v>85</v>
      </c>
      <c r="H119" s="28" t="s">
        <v>1355</v>
      </c>
    </row>
    <row r="120" spans="1:8" ht="15" customHeight="1" x14ac:dyDescent="0.35">
      <c r="A120" s="19" t="s">
        <v>1356</v>
      </c>
      <c r="B120" s="26" t="s">
        <v>1357</v>
      </c>
      <c r="C120" s="20" t="s">
        <v>1358</v>
      </c>
      <c r="D120" s="24" t="s">
        <v>241</v>
      </c>
      <c r="E120" s="19" t="s">
        <v>804</v>
      </c>
      <c r="F120" s="19"/>
      <c r="G120" s="19" t="s">
        <v>85</v>
      </c>
      <c r="H120" s="20" t="s">
        <v>1359</v>
      </c>
    </row>
    <row r="121" spans="1:8" ht="23.9" customHeight="1" x14ac:dyDescent="0.35">
      <c r="A121" s="27" t="s">
        <v>1360</v>
      </c>
      <c r="B121" s="33" t="s">
        <v>1361</v>
      </c>
      <c r="C121" s="28" t="s">
        <v>1362</v>
      </c>
      <c r="D121" s="32" t="s">
        <v>296</v>
      </c>
      <c r="E121" s="27" t="s">
        <v>804</v>
      </c>
      <c r="F121" s="27" t="s">
        <v>1363</v>
      </c>
      <c r="G121" s="27" t="s">
        <v>85</v>
      </c>
      <c r="H121" s="28" t="s">
        <v>1364</v>
      </c>
    </row>
    <row r="122" spans="1:8" ht="15" customHeight="1" x14ac:dyDescent="0.35">
      <c r="A122" s="19" t="s">
        <v>1365</v>
      </c>
      <c r="B122" s="26" t="s">
        <v>1366</v>
      </c>
      <c r="C122" s="20" t="s">
        <v>1367</v>
      </c>
      <c r="D122" s="24" t="s">
        <v>1272</v>
      </c>
      <c r="E122" s="19" t="s">
        <v>804</v>
      </c>
      <c r="F122" s="19"/>
      <c r="G122" s="19" t="s">
        <v>85</v>
      </c>
      <c r="H122" s="20" t="s">
        <v>1368</v>
      </c>
    </row>
    <row r="123" spans="1:8" ht="15" customHeight="1" x14ac:dyDescent="0.35">
      <c r="A123" s="27" t="s">
        <v>1369</v>
      </c>
      <c r="B123" s="33" t="s">
        <v>421</v>
      </c>
      <c r="C123" s="28" t="s">
        <v>1370</v>
      </c>
      <c r="D123" s="32" t="s">
        <v>1272</v>
      </c>
      <c r="E123" s="27" t="s">
        <v>804</v>
      </c>
      <c r="F123" s="27"/>
      <c r="G123" s="27" t="s">
        <v>85</v>
      </c>
      <c r="H123" s="28" t="s">
        <v>1371</v>
      </c>
    </row>
    <row r="124" spans="1:8" ht="15" customHeight="1" x14ac:dyDescent="0.35">
      <c r="A124" s="19" t="s">
        <v>1372</v>
      </c>
      <c r="B124" s="26" t="s">
        <v>1373</v>
      </c>
      <c r="C124" s="20" t="s">
        <v>1374</v>
      </c>
      <c r="D124" s="24" t="s">
        <v>241</v>
      </c>
      <c r="E124" s="19" t="s">
        <v>1375</v>
      </c>
      <c r="F124" s="19"/>
      <c r="G124" s="19" t="s">
        <v>85</v>
      </c>
      <c r="H124" s="20" t="s">
        <v>1359</v>
      </c>
    </row>
    <row r="125" spans="1:8" ht="35" customHeight="1" x14ac:dyDescent="0.35">
      <c r="A125" s="27" t="s">
        <v>1376</v>
      </c>
      <c r="B125" s="33" t="s">
        <v>1377</v>
      </c>
      <c r="C125" s="28" t="s">
        <v>1378</v>
      </c>
      <c r="D125" s="32" t="s">
        <v>1379</v>
      </c>
      <c r="E125" s="27" t="s">
        <v>1337</v>
      </c>
      <c r="F125" s="27"/>
      <c r="G125" s="27" t="s">
        <v>85</v>
      </c>
      <c r="H125" s="28" t="s">
        <v>1380</v>
      </c>
    </row>
    <row r="126" spans="1:8" ht="23.9" customHeight="1" x14ac:dyDescent="0.35">
      <c r="A126" s="19" t="s">
        <v>1381</v>
      </c>
      <c r="B126" s="26" t="s">
        <v>1377</v>
      </c>
      <c r="C126" s="20" t="s">
        <v>1382</v>
      </c>
      <c r="D126" s="24" t="s">
        <v>1379</v>
      </c>
      <c r="E126" s="19" t="s">
        <v>1337</v>
      </c>
      <c r="F126" s="19"/>
      <c r="G126" s="19" t="s">
        <v>85</v>
      </c>
      <c r="H126" s="20" t="s">
        <v>1380</v>
      </c>
    </row>
    <row r="127" spans="1:8" ht="23.9" customHeight="1" x14ac:dyDescent="0.35">
      <c r="A127" s="27" t="s">
        <v>1383</v>
      </c>
      <c r="B127" s="33" t="s">
        <v>1384</v>
      </c>
      <c r="C127" s="28" t="s">
        <v>1385</v>
      </c>
      <c r="D127" s="32" t="s">
        <v>241</v>
      </c>
      <c r="E127" s="27" t="s">
        <v>804</v>
      </c>
      <c r="F127" s="27"/>
      <c r="G127" s="27" t="s">
        <v>85</v>
      </c>
      <c r="H127" s="28" t="s">
        <v>1359</v>
      </c>
    </row>
    <row r="128" spans="1:8" ht="23.9" customHeight="1" x14ac:dyDescent="0.35">
      <c r="A128" s="19" t="s">
        <v>1386</v>
      </c>
      <c r="B128" s="26" t="s">
        <v>441</v>
      </c>
      <c r="C128" s="20" t="s">
        <v>1387</v>
      </c>
      <c r="D128" s="24" t="s">
        <v>1120</v>
      </c>
      <c r="E128" s="19" t="s">
        <v>804</v>
      </c>
      <c r="F128" s="19"/>
      <c r="G128" s="19" t="s">
        <v>85</v>
      </c>
      <c r="H128" s="20" t="s">
        <v>1388</v>
      </c>
    </row>
    <row r="129" spans="1:8" ht="15" customHeight="1" x14ac:dyDescent="0.35">
      <c r="A129" s="27" t="s">
        <v>1389</v>
      </c>
      <c r="B129" s="33" t="s">
        <v>354</v>
      </c>
      <c r="C129" s="28" t="s">
        <v>1390</v>
      </c>
      <c r="D129" s="32" t="s">
        <v>803</v>
      </c>
      <c r="E129" s="27" t="s">
        <v>804</v>
      </c>
      <c r="F129" s="27"/>
      <c r="G129" s="27" t="s">
        <v>85</v>
      </c>
      <c r="H129" s="28" t="s">
        <v>1391</v>
      </c>
    </row>
    <row r="130" spans="1:8" ht="15" customHeight="1" x14ac:dyDescent="0.35">
      <c r="A130" s="19" t="s">
        <v>1392</v>
      </c>
      <c r="B130" s="26" t="s">
        <v>1393</v>
      </c>
      <c r="C130" s="20" t="s">
        <v>1394</v>
      </c>
      <c r="D130" s="24" t="s">
        <v>803</v>
      </c>
      <c r="E130" s="19" t="s">
        <v>804</v>
      </c>
      <c r="F130" s="19"/>
      <c r="G130" s="19" t="s">
        <v>85</v>
      </c>
      <c r="H130" s="20" t="s">
        <v>1395</v>
      </c>
    </row>
    <row r="131" spans="1:8" ht="15" customHeight="1" x14ac:dyDescent="0.35">
      <c r="A131" s="27" t="s">
        <v>1396</v>
      </c>
      <c r="B131" s="33" t="s">
        <v>1397</v>
      </c>
      <c r="C131" s="28" t="s">
        <v>1398</v>
      </c>
      <c r="D131" s="32" t="s">
        <v>803</v>
      </c>
      <c r="E131" s="27" t="s">
        <v>804</v>
      </c>
      <c r="F131" s="27"/>
      <c r="G131" s="27" t="s">
        <v>85</v>
      </c>
      <c r="H131" s="28" t="s">
        <v>1399</v>
      </c>
    </row>
    <row r="132" spans="1:8" ht="15" customHeight="1" x14ac:dyDescent="0.35">
      <c r="A132" s="19" t="s">
        <v>1400</v>
      </c>
      <c r="B132" s="26" t="s">
        <v>368</v>
      </c>
      <c r="C132" s="20" t="s">
        <v>1401</v>
      </c>
      <c r="D132" s="24" t="s">
        <v>803</v>
      </c>
      <c r="E132" s="19" t="s">
        <v>804</v>
      </c>
      <c r="F132" s="19"/>
      <c r="G132" s="19" t="s">
        <v>85</v>
      </c>
      <c r="H132" s="20" t="s">
        <v>1402</v>
      </c>
    </row>
    <row r="133" spans="1:8" ht="15" customHeight="1" x14ac:dyDescent="0.35">
      <c r="A133" s="27" t="s">
        <v>1403</v>
      </c>
      <c r="B133" s="33" t="s">
        <v>1404</v>
      </c>
      <c r="C133" s="28" t="s">
        <v>1405</v>
      </c>
      <c r="D133" s="32" t="s">
        <v>803</v>
      </c>
      <c r="E133" s="27" t="s">
        <v>804</v>
      </c>
      <c r="F133" s="27"/>
      <c r="G133" s="27" t="s">
        <v>85</v>
      </c>
      <c r="H133" s="28" t="s">
        <v>1406</v>
      </c>
    </row>
    <row r="134" spans="1:8" ht="15" customHeight="1" x14ac:dyDescent="0.35">
      <c r="A134" s="19" t="s">
        <v>1407</v>
      </c>
      <c r="B134" s="26" t="s">
        <v>1408</v>
      </c>
      <c r="C134" s="20" t="s">
        <v>1409</v>
      </c>
      <c r="D134" s="24" t="s">
        <v>803</v>
      </c>
      <c r="E134" s="19" t="s">
        <v>804</v>
      </c>
      <c r="F134" s="19"/>
      <c r="G134" s="19" t="s">
        <v>85</v>
      </c>
      <c r="H134" s="20" t="s">
        <v>1410</v>
      </c>
    </row>
    <row r="135" spans="1:8" ht="15" customHeight="1" x14ac:dyDescent="0.35">
      <c r="A135" s="27" t="s">
        <v>634</v>
      </c>
      <c r="B135" s="33" t="s">
        <v>1411</v>
      </c>
      <c r="C135" s="28" t="s">
        <v>1412</v>
      </c>
      <c r="D135" s="32" t="s">
        <v>803</v>
      </c>
      <c r="E135" s="27" t="s">
        <v>804</v>
      </c>
      <c r="F135" s="27"/>
      <c r="G135" s="27" t="s">
        <v>85</v>
      </c>
      <c r="H135" s="28" t="s">
        <v>1413</v>
      </c>
    </row>
    <row r="136" spans="1:8" ht="15" customHeight="1" x14ac:dyDescent="0.35">
      <c r="A136" s="19" t="s">
        <v>1414</v>
      </c>
      <c r="B136" s="26" t="s">
        <v>483</v>
      </c>
      <c r="C136" s="20" t="s">
        <v>1415</v>
      </c>
      <c r="D136" s="24" t="s">
        <v>859</v>
      </c>
      <c r="E136" s="19" t="s">
        <v>804</v>
      </c>
      <c r="F136" s="19"/>
      <c r="G136" s="19" t="s">
        <v>85</v>
      </c>
      <c r="H136" s="20" t="s">
        <v>1416</v>
      </c>
    </row>
    <row r="137" spans="1:8" ht="15" customHeight="1" x14ac:dyDescent="0.35">
      <c r="A137" s="27" t="s">
        <v>1417</v>
      </c>
      <c r="B137" s="33" t="s">
        <v>1418</v>
      </c>
      <c r="C137" s="28" t="s">
        <v>1419</v>
      </c>
      <c r="D137" s="32" t="s">
        <v>859</v>
      </c>
      <c r="E137" s="27" t="s">
        <v>804</v>
      </c>
      <c r="F137" s="27"/>
      <c r="G137" s="27" t="s">
        <v>85</v>
      </c>
      <c r="H137" s="28" t="s">
        <v>1420</v>
      </c>
    </row>
    <row r="138" spans="1:8" ht="15" customHeight="1" x14ac:dyDescent="0.35">
      <c r="A138" s="19" t="s">
        <v>1421</v>
      </c>
      <c r="B138" s="26" t="s">
        <v>1422</v>
      </c>
      <c r="C138" s="20" t="s">
        <v>1423</v>
      </c>
      <c r="D138" s="24" t="s">
        <v>859</v>
      </c>
      <c r="E138" s="19" t="s">
        <v>804</v>
      </c>
      <c r="F138" s="19"/>
      <c r="G138" s="19" t="s">
        <v>85</v>
      </c>
      <c r="H138" s="20" t="s">
        <v>1424</v>
      </c>
    </row>
    <row r="139" spans="1:8" ht="15" customHeight="1" x14ac:dyDescent="0.35">
      <c r="A139" s="27" t="s">
        <v>1425</v>
      </c>
      <c r="B139" s="33" t="s">
        <v>1426</v>
      </c>
      <c r="C139" s="28" t="s">
        <v>1427</v>
      </c>
      <c r="D139" s="32" t="s">
        <v>859</v>
      </c>
      <c r="E139" s="27" t="s">
        <v>804</v>
      </c>
      <c r="F139" s="27"/>
      <c r="G139" s="27" t="s">
        <v>85</v>
      </c>
      <c r="H139" s="28" t="s">
        <v>1428</v>
      </c>
    </row>
    <row r="140" spans="1:8" ht="15" customHeight="1" x14ac:dyDescent="0.35">
      <c r="A140" s="19" t="s">
        <v>1429</v>
      </c>
      <c r="B140" s="26" t="s">
        <v>1430</v>
      </c>
      <c r="C140" s="20" t="s">
        <v>1431</v>
      </c>
      <c r="D140" s="24" t="s">
        <v>859</v>
      </c>
      <c r="E140" s="19" t="s">
        <v>804</v>
      </c>
      <c r="F140" s="19"/>
      <c r="G140" s="19" t="s">
        <v>85</v>
      </c>
      <c r="H140" s="20" t="s">
        <v>1432</v>
      </c>
    </row>
    <row r="141" spans="1:8" ht="15" customHeight="1" x14ac:dyDescent="0.35">
      <c r="A141" s="27" t="s">
        <v>1433</v>
      </c>
      <c r="B141" s="33" t="s">
        <v>1434</v>
      </c>
      <c r="C141" s="28" t="s">
        <v>1435</v>
      </c>
      <c r="D141" s="32" t="s">
        <v>859</v>
      </c>
      <c r="E141" s="27" t="s">
        <v>804</v>
      </c>
      <c r="F141" s="27"/>
      <c r="G141" s="27" t="s">
        <v>85</v>
      </c>
      <c r="H141" s="28" t="s">
        <v>1436</v>
      </c>
    </row>
    <row r="142" spans="1:8" ht="15" customHeight="1" x14ac:dyDescent="0.35">
      <c r="A142" s="19" t="s">
        <v>1437</v>
      </c>
      <c r="B142" s="26" t="s">
        <v>1438</v>
      </c>
      <c r="C142" s="20" t="s">
        <v>1439</v>
      </c>
      <c r="D142" s="24" t="s">
        <v>859</v>
      </c>
      <c r="E142" s="19" t="s">
        <v>804</v>
      </c>
      <c r="F142" s="19"/>
      <c r="G142" s="19" t="s">
        <v>85</v>
      </c>
      <c r="H142" s="20" t="s">
        <v>1440</v>
      </c>
    </row>
    <row r="143" spans="1:8" ht="15" customHeight="1" x14ac:dyDescent="0.35">
      <c r="A143" s="27" t="s">
        <v>1441</v>
      </c>
      <c r="B143" s="33" t="s">
        <v>393</v>
      </c>
      <c r="C143" s="28" t="s">
        <v>1442</v>
      </c>
      <c r="D143" s="32" t="s">
        <v>1012</v>
      </c>
      <c r="E143" s="27" t="s">
        <v>804</v>
      </c>
      <c r="F143" s="27"/>
      <c r="G143" s="27" t="s">
        <v>85</v>
      </c>
      <c r="H143" s="28" t="s">
        <v>1443</v>
      </c>
    </row>
    <row r="144" spans="1:8" ht="15" customHeight="1" x14ac:dyDescent="0.35">
      <c r="A144" s="19" t="s">
        <v>1444</v>
      </c>
      <c r="B144" s="26" t="s">
        <v>1445</v>
      </c>
      <c r="C144" s="20" t="s">
        <v>1446</v>
      </c>
      <c r="D144" s="24" t="s">
        <v>1012</v>
      </c>
      <c r="E144" s="19" t="s">
        <v>804</v>
      </c>
      <c r="F144" s="19"/>
      <c r="G144" s="19" t="s">
        <v>85</v>
      </c>
      <c r="H144" s="20" t="s">
        <v>1447</v>
      </c>
    </row>
    <row r="145" spans="1:8" ht="15" customHeight="1" x14ac:dyDescent="0.35">
      <c r="A145" s="27" t="s">
        <v>1448</v>
      </c>
      <c r="B145" s="33" t="s">
        <v>1449</v>
      </c>
      <c r="C145" s="28" t="s">
        <v>1450</v>
      </c>
      <c r="D145" s="32" t="s">
        <v>1012</v>
      </c>
      <c r="E145" s="27" t="s">
        <v>804</v>
      </c>
      <c r="F145" s="27"/>
      <c r="G145" s="27" t="s">
        <v>85</v>
      </c>
      <c r="H145" s="28" t="s">
        <v>1451</v>
      </c>
    </row>
    <row r="146" spans="1:8" ht="15" customHeight="1" x14ac:dyDescent="0.35">
      <c r="A146" s="19" t="s">
        <v>1452</v>
      </c>
      <c r="B146" s="26" t="s">
        <v>1453</v>
      </c>
      <c r="C146" s="20" t="s">
        <v>1454</v>
      </c>
      <c r="D146" s="24" t="s">
        <v>1012</v>
      </c>
      <c r="E146" s="19" t="s">
        <v>804</v>
      </c>
      <c r="F146" s="19"/>
      <c r="G146" s="19" t="s">
        <v>85</v>
      </c>
      <c r="H146" s="20" t="s">
        <v>1455</v>
      </c>
    </row>
    <row r="147" spans="1:8" ht="15" customHeight="1" x14ac:dyDescent="0.35">
      <c r="A147" s="27" t="s">
        <v>1456</v>
      </c>
      <c r="B147" s="33" t="s">
        <v>1457</v>
      </c>
      <c r="C147" s="28" t="s">
        <v>1458</v>
      </c>
      <c r="D147" s="32" t="s">
        <v>1012</v>
      </c>
      <c r="E147" s="27" t="s">
        <v>804</v>
      </c>
      <c r="F147" s="27"/>
      <c r="G147" s="27" t="s">
        <v>85</v>
      </c>
      <c r="H147" s="28" t="s">
        <v>1459</v>
      </c>
    </row>
    <row r="148" spans="1:8" ht="15" customHeight="1" x14ac:dyDescent="0.35">
      <c r="A148" s="19" t="s">
        <v>1460</v>
      </c>
      <c r="B148" s="26" t="s">
        <v>1461</v>
      </c>
      <c r="C148" s="20" t="s">
        <v>1462</v>
      </c>
      <c r="D148" s="24" t="s">
        <v>1012</v>
      </c>
      <c r="E148" s="19" t="s">
        <v>804</v>
      </c>
      <c r="F148" s="19"/>
      <c r="G148" s="19" t="s">
        <v>85</v>
      </c>
      <c r="H148" s="20" t="s">
        <v>1463</v>
      </c>
    </row>
    <row r="149" spans="1:8" ht="15" customHeight="1" x14ac:dyDescent="0.35">
      <c r="A149" s="27" t="s">
        <v>1464</v>
      </c>
      <c r="B149" s="33" t="s">
        <v>1465</v>
      </c>
      <c r="C149" s="28" t="s">
        <v>1466</v>
      </c>
      <c r="D149" s="32" t="s">
        <v>1012</v>
      </c>
      <c r="E149" s="27" t="s">
        <v>804</v>
      </c>
      <c r="F149" s="27"/>
      <c r="G149" s="27" t="s">
        <v>85</v>
      </c>
      <c r="H149" s="28" t="s">
        <v>1467</v>
      </c>
    </row>
    <row r="150" spans="1:8" ht="15" customHeight="1" x14ac:dyDescent="0.35">
      <c r="A150" s="19" t="s">
        <v>1468</v>
      </c>
      <c r="B150" s="26" t="s">
        <v>464</v>
      </c>
      <c r="C150" s="20" t="s">
        <v>1469</v>
      </c>
      <c r="D150" s="24" t="s">
        <v>962</v>
      </c>
      <c r="E150" s="19" t="s">
        <v>804</v>
      </c>
      <c r="F150" s="19"/>
      <c r="G150" s="19" t="s">
        <v>85</v>
      </c>
      <c r="H150" s="20" t="s">
        <v>1470</v>
      </c>
    </row>
    <row r="151" spans="1:8" ht="15" customHeight="1" x14ac:dyDescent="0.35">
      <c r="A151" s="27" t="s">
        <v>1471</v>
      </c>
      <c r="B151" s="33" t="s">
        <v>1472</v>
      </c>
      <c r="C151" s="28" t="s">
        <v>1473</v>
      </c>
      <c r="D151" s="32" t="s">
        <v>962</v>
      </c>
      <c r="E151" s="27" t="s">
        <v>804</v>
      </c>
      <c r="F151" s="27"/>
      <c r="G151" s="27" t="s">
        <v>85</v>
      </c>
      <c r="H151" s="28" t="s">
        <v>1474</v>
      </c>
    </row>
    <row r="152" spans="1:8" ht="15" customHeight="1" x14ac:dyDescent="0.35">
      <c r="A152" s="19" t="s">
        <v>1475</v>
      </c>
      <c r="B152" s="26" t="s">
        <v>1476</v>
      </c>
      <c r="C152" s="20" t="s">
        <v>1477</v>
      </c>
      <c r="D152" s="24" t="s">
        <v>962</v>
      </c>
      <c r="E152" s="19" t="s">
        <v>804</v>
      </c>
      <c r="F152" s="19"/>
      <c r="G152" s="19" t="s">
        <v>85</v>
      </c>
      <c r="H152" s="20" t="s">
        <v>1478</v>
      </c>
    </row>
    <row r="153" spans="1:8" ht="15" customHeight="1" x14ac:dyDescent="0.35">
      <c r="A153" s="27" t="s">
        <v>1479</v>
      </c>
      <c r="B153" s="33" t="s">
        <v>453</v>
      </c>
      <c r="C153" s="28" t="s">
        <v>1480</v>
      </c>
      <c r="D153" s="32" t="s">
        <v>962</v>
      </c>
      <c r="E153" s="27" t="s">
        <v>804</v>
      </c>
      <c r="F153" s="27"/>
      <c r="G153" s="27" t="s">
        <v>85</v>
      </c>
      <c r="H153" s="28" t="s">
        <v>1481</v>
      </c>
    </row>
    <row r="154" spans="1:8" ht="15" customHeight="1" x14ac:dyDescent="0.35">
      <c r="A154" s="19" t="s">
        <v>1482</v>
      </c>
      <c r="B154" s="26" t="s">
        <v>1483</v>
      </c>
      <c r="C154" s="20" t="s">
        <v>1484</v>
      </c>
      <c r="D154" s="24" t="s">
        <v>962</v>
      </c>
      <c r="E154" s="19" t="s">
        <v>804</v>
      </c>
      <c r="F154" s="19"/>
      <c r="G154" s="19" t="s">
        <v>85</v>
      </c>
      <c r="H154" s="20" t="s">
        <v>1485</v>
      </c>
    </row>
    <row r="155" spans="1:8" ht="15" customHeight="1" x14ac:dyDescent="0.35">
      <c r="A155" s="27" t="s">
        <v>1486</v>
      </c>
      <c r="B155" s="33" t="s">
        <v>1487</v>
      </c>
      <c r="C155" s="28" t="s">
        <v>1488</v>
      </c>
      <c r="D155" s="32" t="s">
        <v>962</v>
      </c>
      <c r="E155" s="27" t="s">
        <v>804</v>
      </c>
      <c r="F155" s="27"/>
      <c r="G155" s="27" t="s">
        <v>85</v>
      </c>
      <c r="H155" s="28" t="s">
        <v>1489</v>
      </c>
    </row>
    <row r="156" spans="1:8" ht="15" customHeight="1" x14ac:dyDescent="0.35">
      <c r="A156" s="19" t="s">
        <v>1490</v>
      </c>
      <c r="B156" s="26" t="s">
        <v>1491</v>
      </c>
      <c r="C156" s="20" t="s">
        <v>1492</v>
      </c>
      <c r="D156" s="24" t="s">
        <v>962</v>
      </c>
      <c r="E156" s="19" t="s">
        <v>804</v>
      </c>
      <c r="F156" s="19"/>
      <c r="G156" s="19" t="s">
        <v>85</v>
      </c>
      <c r="H156" s="20" t="s">
        <v>1493</v>
      </c>
    </row>
    <row r="157" spans="1:8" ht="23.9" customHeight="1" x14ac:dyDescent="0.35">
      <c r="A157" s="27" t="s">
        <v>1494</v>
      </c>
      <c r="B157" s="33" t="s">
        <v>1495</v>
      </c>
      <c r="C157" s="28" t="s">
        <v>1496</v>
      </c>
      <c r="D157" s="32" t="s">
        <v>1120</v>
      </c>
      <c r="E157" s="27" t="s">
        <v>804</v>
      </c>
      <c r="F157" s="27"/>
      <c r="G157" s="27" t="s">
        <v>85</v>
      </c>
      <c r="H157" s="28" t="s">
        <v>1497</v>
      </c>
    </row>
    <row r="158" spans="1:8" ht="23.9" customHeight="1" x14ac:dyDescent="0.35">
      <c r="A158" s="19" t="s">
        <v>1498</v>
      </c>
      <c r="B158" s="26" t="s">
        <v>1499</v>
      </c>
      <c r="C158" s="20" t="s">
        <v>1500</v>
      </c>
      <c r="D158" s="24" t="s">
        <v>1120</v>
      </c>
      <c r="E158" s="19" t="s">
        <v>804</v>
      </c>
      <c r="F158" s="19"/>
      <c r="G158" s="19" t="s">
        <v>85</v>
      </c>
      <c r="H158" s="20" t="s">
        <v>1501</v>
      </c>
    </row>
    <row r="159" spans="1:8" ht="23.9" customHeight="1" x14ac:dyDescent="0.35">
      <c r="A159" s="27" t="s">
        <v>1502</v>
      </c>
      <c r="B159" s="33" t="s">
        <v>1503</v>
      </c>
      <c r="C159" s="28" t="s">
        <v>1504</v>
      </c>
      <c r="D159" s="32" t="s">
        <v>1120</v>
      </c>
      <c r="E159" s="27" t="s">
        <v>804</v>
      </c>
      <c r="F159" s="27"/>
      <c r="G159" s="27" t="s">
        <v>85</v>
      </c>
      <c r="H159" s="28" t="s">
        <v>1505</v>
      </c>
    </row>
    <row r="160" spans="1:8" ht="23.9" customHeight="1" x14ac:dyDescent="0.35">
      <c r="A160" s="19" t="s">
        <v>1506</v>
      </c>
      <c r="B160" s="26" t="s">
        <v>1507</v>
      </c>
      <c r="C160" s="20" t="s">
        <v>1508</v>
      </c>
      <c r="D160" s="24" t="s">
        <v>1120</v>
      </c>
      <c r="E160" s="19" t="s">
        <v>804</v>
      </c>
      <c r="F160" s="19"/>
      <c r="G160" s="19" t="s">
        <v>85</v>
      </c>
      <c r="H160" s="20" t="s">
        <v>1509</v>
      </c>
    </row>
    <row r="161" spans="1:8" ht="23.9" customHeight="1" x14ac:dyDescent="0.35">
      <c r="A161" s="27" t="s">
        <v>1510</v>
      </c>
      <c r="B161" s="33" t="s">
        <v>1511</v>
      </c>
      <c r="C161" s="28" t="s">
        <v>1512</v>
      </c>
      <c r="D161" s="32" t="s">
        <v>1120</v>
      </c>
      <c r="E161" s="27" t="s">
        <v>804</v>
      </c>
      <c r="F161" s="27"/>
      <c r="G161" s="27" t="s">
        <v>85</v>
      </c>
      <c r="H161" s="28" t="s">
        <v>1513</v>
      </c>
    </row>
    <row r="162" spans="1:8" ht="23.9" customHeight="1" x14ac:dyDescent="0.35">
      <c r="A162" s="19" t="s">
        <v>1514</v>
      </c>
      <c r="B162" s="26" t="s">
        <v>1515</v>
      </c>
      <c r="C162" s="20" t="s">
        <v>1516</v>
      </c>
      <c r="D162" s="24" t="s">
        <v>1120</v>
      </c>
      <c r="E162" s="19" t="s">
        <v>804</v>
      </c>
      <c r="F162" s="19"/>
      <c r="G162" s="19" t="s">
        <v>85</v>
      </c>
      <c r="H162" s="20" t="s">
        <v>1517</v>
      </c>
    </row>
    <row r="163" spans="1:8" ht="23.9" customHeight="1" x14ac:dyDescent="0.35">
      <c r="A163" s="27" t="s">
        <v>1518</v>
      </c>
      <c r="B163" s="33" t="s">
        <v>428</v>
      </c>
      <c r="C163" s="28" t="s">
        <v>1519</v>
      </c>
      <c r="D163" s="32" t="s">
        <v>1120</v>
      </c>
      <c r="E163" s="27" t="s">
        <v>804</v>
      </c>
      <c r="F163" s="27"/>
      <c r="G163" s="27" t="s">
        <v>85</v>
      </c>
      <c r="H163" s="28" t="s">
        <v>1520</v>
      </c>
    </row>
    <row r="164" spans="1:8" ht="15" customHeight="1" x14ac:dyDescent="0.35">
      <c r="A164" s="19" t="s">
        <v>597</v>
      </c>
      <c r="B164" s="26" t="s">
        <v>414</v>
      </c>
      <c r="C164" s="20" t="s">
        <v>1521</v>
      </c>
      <c r="D164" s="24" t="s">
        <v>1272</v>
      </c>
      <c r="E164" s="19" t="s">
        <v>804</v>
      </c>
      <c r="F164" s="19"/>
      <c r="G164" s="19" t="s">
        <v>85</v>
      </c>
      <c r="H164" s="20" t="s">
        <v>1522</v>
      </c>
    </row>
    <row r="165" spans="1:8" ht="15" customHeight="1" x14ac:dyDescent="0.35">
      <c r="A165" s="27" t="s">
        <v>1523</v>
      </c>
      <c r="B165" s="33" t="s">
        <v>1524</v>
      </c>
      <c r="C165" s="28" t="s">
        <v>1525</v>
      </c>
      <c r="D165" s="32" t="s">
        <v>1272</v>
      </c>
      <c r="E165" s="27" t="s">
        <v>804</v>
      </c>
      <c r="F165" s="27"/>
      <c r="G165" s="27" t="s">
        <v>85</v>
      </c>
      <c r="H165" s="28" t="s">
        <v>1526</v>
      </c>
    </row>
    <row r="166" spans="1:8" ht="15" customHeight="1" x14ac:dyDescent="0.35">
      <c r="A166" s="19" t="s">
        <v>1527</v>
      </c>
      <c r="B166" s="26" t="s">
        <v>402</v>
      </c>
      <c r="C166" s="20" t="s">
        <v>1528</v>
      </c>
      <c r="D166" s="24" t="s">
        <v>1272</v>
      </c>
      <c r="E166" s="19" t="s">
        <v>804</v>
      </c>
      <c r="F166" s="19"/>
      <c r="G166" s="19" t="s">
        <v>85</v>
      </c>
      <c r="H166" s="20" t="s">
        <v>1529</v>
      </c>
    </row>
    <row r="167" spans="1:8" ht="23.9" customHeight="1" x14ac:dyDescent="0.35">
      <c r="A167" s="27" t="s">
        <v>1530</v>
      </c>
      <c r="B167" s="33" t="s">
        <v>1531</v>
      </c>
      <c r="C167" s="28" t="s">
        <v>1532</v>
      </c>
      <c r="D167" s="32" t="s">
        <v>1163</v>
      </c>
      <c r="E167" s="27" t="s">
        <v>804</v>
      </c>
      <c r="F167" s="27"/>
      <c r="G167" s="27" t="s">
        <v>85</v>
      </c>
      <c r="H167" s="28" t="s">
        <v>1533</v>
      </c>
    </row>
    <row r="168" spans="1:8" ht="23.9" customHeight="1" x14ac:dyDescent="0.35">
      <c r="A168" s="19" t="s">
        <v>1534</v>
      </c>
      <c r="B168" s="26" t="s">
        <v>1535</v>
      </c>
      <c r="C168" s="20" t="s">
        <v>1536</v>
      </c>
      <c r="D168" s="24" t="s">
        <v>1163</v>
      </c>
      <c r="E168" s="19" t="s">
        <v>804</v>
      </c>
      <c r="F168" s="19"/>
      <c r="G168" s="19" t="s">
        <v>85</v>
      </c>
      <c r="H168" s="20" t="s">
        <v>1537</v>
      </c>
    </row>
    <row r="169" spans="1:8" ht="23.9" customHeight="1" x14ac:dyDescent="0.35">
      <c r="A169" s="27" t="s">
        <v>1538</v>
      </c>
      <c r="B169" s="33" t="s">
        <v>471</v>
      </c>
      <c r="C169" s="28" t="s">
        <v>1539</v>
      </c>
      <c r="D169" s="32" t="s">
        <v>1163</v>
      </c>
      <c r="E169" s="27" t="s">
        <v>804</v>
      </c>
      <c r="F169" s="27"/>
      <c r="G169" s="27" t="s">
        <v>85</v>
      </c>
      <c r="H169" s="28" t="s">
        <v>1540</v>
      </c>
    </row>
    <row r="170" spans="1:8" ht="23.9" customHeight="1" x14ac:dyDescent="0.35">
      <c r="A170" s="19" t="s">
        <v>1541</v>
      </c>
      <c r="B170" s="26" t="s">
        <v>1542</v>
      </c>
      <c r="C170" s="20" t="s">
        <v>1543</v>
      </c>
      <c r="D170" s="24" t="s">
        <v>1163</v>
      </c>
      <c r="E170" s="19" t="s">
        <v>804</v>
      </c>
      <c r="F170" s="19"/>
      <c r="G170" s="19" t="s">
        <v>85</v>
      </c>
      <c r="H170" s="20" t="s">
        <v>1544</v>
      </c>
    </row>
    <row r="171" spans="1:8" ht="23.9" customHeight="1" x14ac:dyDescent="0.35">
      <c r="A171" s="27" t="s">
        <v>1545</v>
      </c>
      <c r="B171" s="33" t="s">
        <v>1546</v>
      </c>
      <c r="C171" s="28" t="s">
        <v>1547</v>
      </c>
      <c r="D171" s="32" t="s">
        <v>1163</v>
      </c>
      <c r="E171" s="27" t="s">
        <v>804</v>
      </c>
      <c r="F171" s="27"/>
      <c r="G171" s="27" t="s">
        <v>85</v>
      </c>
      <c r="H171" s="28" t="s">
        <v>1548</v>
      </c>
    </row>
    <row r="172" spans="1:8" ht="15" customHeight="1" x14ac:dyDescent="0.35">
      <c r="A172" s="19" t="s">
        <v>1549</v>
      </c>
      <c r="B172" s="26" t="s">
        <v>1550</v>
      </c>
      <c r="C172" s="20" t="s">
        <v>1551</v>
      </c>
      <c r="D172" s="24" t="s">
        <v>1106</v>
      </c>
      <c r="E172" s="19" t="s">
        <v>804</v>
      </c>
      <c r="F172" s="19"/>
      <c r="G172" s="19" t="s">
        <v>85</v>
      </c>
      <c r="H172" s="20" t="s">
        <v>1552</v>
      </c>
    </row>
    <row r="173" spans="1:8" ht="15" customHeight="1" x14ac:dyDescent="0.35">
      <c r="A173" s="27" t="s">
        <v>1553</v>
      </c>
      <c r="B173" s="33" t="s">
        <v>1554</v>
      </c>
      <c r="C173" s="28" t="s">
        <v>1555</v>
      </c>
      <c r="D173" s="32" t="s">
        <v>1106</v>
      </c>
      <c r="E173" s="27" t="s">
        <v>804</v>
      </c>
      <c r="F173" s="27"/>
      <c r="G173" s="27" t="s">
        <v>85</v>
      </c>
      <c r="H173" s="28" t="s">
        <v>1556</v>
      </c>
    </row>
    <row r="174" spans="1:8" ht="15" customHeight="1" x14ac:dyDescent="0.35">
      <c r="A174" s="19" t="s">
        <v>1557</v>
      </c>
      <c r="B174" s="26" t="s">
        <v>1558</v>
      </c>
      <c r="C174" s="20" t="s">
        <v>1559</v>
      </c>
      <c r="D174" s="24" t="s">
        <v>1106</v>
      </c>
      <c r="E174" s="19" t="s">
        <v>804</v>
      </c>
      <c r="F174" s="19"/>
      <c r="G174" s="19" t="s">
        <v>85</v>
      </c>
      <c r="H174" s="20" t="s">
        <v>1560</v>
      </c>
    </row>
    <row r="175" spans="1:8" ht="15" customHeight="1" x14ac:dyDescent="0.35">
      <c r="A175" s="27" t="s">
        <v>1561</v>
      </c>
      <c r="B175" s="33" t="s">
        <v>1562</v>
      </c>
      <c r="C175" s="28" t="s">
        <v>1563</v>
      </c>
      <c r="D175" s="32" t="s">
        <v>1106</v>
      </c>
      <c r="E175" s="27" t="s">
        <v>804</v>
      </c>
      <c r="F175" s="27"/>
      <c r="G175" s="27" t="s">
        <v>85</v>
      </c>
      <c r="H175" s="28" t="s">
        <v>1564</v>
      </c>
    </row>
    <row r="176" spans="1:8" ht="15" customHeight="1" x14ac:dyDescent="0.35">
      <c r="A176" s="19" t="s">
        <v>1565</v>
      </c>
      <c r="B176" s="26" t="s">
        <v>1566</v>
      </c>
      <c r="C176" s="20" t="s">
        <v>1567</v>
      </c>
      <c r="D176" s="24" t="s">
        <v>1106</v>
      </c>
      <c r="E176" s="19" t="s">
        <v>804</v>
      </c>
      <c r="F176" s="19"/>
      <c r="G176" s="19" t="s">
        <v>85</v>
      </c>
      <c r="H176" s="20" t="s">
        <v>1568</v>
      </c>
    </row>
    <row r="177" spans="1:8" ht="15" customHeight="1" x14ac:dyDescent="0.35">
      <c r="A177" s="27" t="s">
        <v>1569</v>
      </c>
      <c r="B177" s="33" t="s">
        <v>1570</v>
      </c>
      <c r="C177" s="28" t="s">
        <v>1571</v>
      </c>
      <c r="D177" s="32" t="s">
        <v>1106</v>
      </c>
      <c r="E177" s="27" t="s">
        <v>804</v>
      </c>
      <c r="F177" s="27"/>
      <c r="G177" s="27" t="s">
        <v>85</v>
      </c>
      <c r="H177" s="28" t="s">
        <v>1572</v>
      </c>
    </row>
    <row r="178" spans="1:8" ht="15" customHeight="1" x14ac:dyDescent="0.35">
      <c r="A178" s="19" t="s">
        <v>1573</v>
      </c>
      <c r="B178" s="26" t="s">
        <v>1574</v>
      </c>
      <c r="C178" s="20" t="s">
        <v>1575</v>
      </c>
      <c r="D178" s="24" t="s">
        <v>1106</v>
      </c>
      <c r="E178" s="19" t="s">
        <v>804</v>
      </c>
      <c r="F178" s="19"/>
      <c r="G178" s="19" t="s">
        <v>85</v>
      </c>
      <c r="H178" s="20" t="s">
        <v>1576</v>
      </c>
    </row>
    <row r="179" spans="1:8" ht="15" customHeight="1" x14ac:dyDescent="0.35">
      <c r="A179" s="27" t="s">
        <v>1577</v>
      </c>
      <c r="B179" s="33" t="s">
        <v>1578</v>
      </c>
      <c r="C179" s="28" t="s">
        <v>1579</v>
      </c>
      <c r="D179" s="32" t="s">
        <v>1221</v>
      </c>
      <c r="E179" s="27" t="s">
        <v>804</v>
      </c>
      <c r="F179" s="27"/>
      <c r="G179" s="27" t="s">
        <v>85</v>
      </c>
      <c r="H179" s="28" t="s">
        <v>1580</v>
      </c>
    </row>
    <row r="180" spans="1:8" ht="15" customHeight="1" x14ac:dyDescent="0.35">
      <c r="A180" s="19" t="s">
        <v>1581</v>
      </c>
      <c r="B180" s="26" t="s">
        <v>1582</v>
      </c>
      <c r="C180" s="20" t="s">
        <v>1583</v>
      </c>
      <c r="D180" s="24" t="s">
        <v>1221</v>
      </c>
      <c r="E180" s="19" t="s">
        <v>804</v>
      </c>
      <c r="F180" s="19"/>
      <c r="G180" s="19" t="s">
        <v>85</v>
      </c>
      <c r="H180" s="20" t="s">
        <v>1584</v>
      </c>
    </row>
    <row r="181" spans="1:8" ht="15" customHeight="1" x14ac:dyDescent="0.35">
      <c r="A181" s="27" t="s">
        <v>1585</v>
      </c>
      <c r="B181" s="33" t="s">
        <v>1586</v>
      </c>
      <c r="C181" s="28" t="s">
        <v>1587</v>
      </c>
      <c r="D181" s="32" t="s">
        <v>1221</v>
      </c>
      <c r="E181" s="27" t="s">
        <v>804</v>
      </c>
      <c r="F181" s="27"/>
      <c r="G181" s="27" t="s">
        <v>85</v>
      </c>
      <c r="H181" s="28" t="s">
        <v>1588</v>
      </c>
    </row>
    <row r="182" spans="1:8" ht="15" customHeight="1" x14ac:dyDescent="0.35">
      <c r="A182" s="19" t="s">
        <v>1589</v>
      </c>
      <c r="B182" s="26" t="s">
        <v>1590</v>
      </c>
      <c r="C182" s="20" t="s">
        <v>1591</v>
      </c>
      <c r="D182" s="24" t="s">
        <v>1221</v>
      </c>
      <c r="E182" s="19" t="s">
        <v>804</v>
      </c>
      <c r="F182" s="19"/>
      <c r="G182" s="19" t="s">
        <v>85</v>
      </c>
      <c r="H182" s="20" t="s">
        <v>1592</v>
      </c>
    </row>
    <row r="183" spans="1:8" ht="15" customHeight="1" x14ac:dyDescent="0.35">
      <c r="A183" s="27" t="s">
        <v>1593</v>
      </c>
      <c r="B183" s="33" t="s">
        <v>1594</v>
      </c>
      <c r="C183" s="28" t="s">
        <v>1595</v>
      </c>
      <c r="D183" s="32" t="s">
        <v>1221</v>
      </c>
      <c r="E183" s="27" t="s">
        <v>804</v>
      </c>
      <c r="F183" s="27"/>
      <c r="G183" s="27" t="s">
        <v>85</v>
      </c>
      <c r="H183" s="28" t="s">
        <v>1596</v>
      </c>
    </row>
    <row r="184" spans="1:8" ht="15" customHeight="1" x14ac:dyDescent="0.35">
      <c r="A184" s="19" t="s">
        <v>1597</v>
      </c>
      <c r="B184" s="26" t="s">
        <v>1598</v>
      </c>
      <c r="C184" s="20" t="s">
        <v>1599</v>
      </c>
      <c r="D184" s="24" t="s">
        <v>1221</v>
      </c>
      <c r="E184" s="19" t="s">
        <v>804</v>
      </c>
      <c r="F184" s="19"/>
      <c r="G184" s="19" t="s">
        <v>85</v>
      </c>
      <c r="H184" s="20" t="s">
        <v>1600</v>
      </c>
    </row>
    <row r="185" spans="1:8" ht="15" customHeight="1" x14ac:dyDescent="0.35">
      <c r="A185" s="27" t="s">
        <v>1601</v>
      </c>
      <c r="B185" s="33" t="s">
        <v>1602</v>
      </c>
      <c r="C185" s="28" t="s">
        <v>1603</v>
      </c>
      <c r="D185" s="32" t="s">
        <v>1221</v>
      </c>
      <c r="E185" s="27" t="s">
        <v>804</v>
      </c>
      <c r="F185" s="27"/>
      <c r="G185" s="27" t="s">
        <v>85</v>
      </c>
      <c r="H185" s="28" t="s">
        <v>1604</v>
      </c>
    </row>
    <row r="186" spans="1:8" ht="15" customHeight="1" x14ac:dyDescent="0.35">
      <c r="A186" s="19" t="s">
        <v>1605</v>
      </c>
      <c r="B186" s="26" t="s">
        <v>1606</v>
      </c>
      <c r="C186" s="20" t="s">
        <v>1607</v>
      </c>
      <c r="D186" s="24" t="s">
        <v>1282</v>
      </c>
      <c r="E186" s="19" t="s">
        <v>804</v>
      </c>
      <c r="F186" s="19"/>
      <c r="G186" s="19" t="s">
        <v>85</v>
      </c>
      <c r="H186" s="20" t="s">
        <v>1608</v>
      </c>
    </row>
    <row r="187" spans="1:8" ht="15" customHeight="1" x14ac:dyDescent="0.35">
      <c r="A187" s="27" t="s">
        <v>1609</v>
      </c>
      <c r="B187" s="33" t="s">
        <v>1610</v>
      </c>
      <c r="C187" s="28" t="s">
        <v>1611</v>
      </c>
      <c r="D187" s="32" t="s">
        <v>1282</v>
      </c>
      <c r="E187" s="27" t="s">
        <v>804</v>
      </c>
      <c r="F187" s="27"/>
      <c r="G187" s="27" t="s">
        <v>85</v>
      </c>
      <c r="H187" s="28" t="s">
        <v>1612</v>
      </c>
    </row>
    <row r="188" spans="1:8" ht="15" customHeight="1" x14ac:dyDescent="0.35">
      <c r="A188" s="19" t="s">
        <v>1613</v>
      </c>
      <c r="B188" s="26" t="s">
        <v>1614</v>
      </c>
      <c r="C188" s="20" t="s">
        <v>1615</v>
      </c>
      <c r="D188" s="24" t="s">
        <v>1282</v>
      </c>
      <c r="E188" s="19" t="s">
        <v>804</v>
      </c>
      <c r="F188" s="19"/>
      <c r="G188" s="19" t="s">
        <v>85</v>
      </c>
      <c r="H188" s="20" t="s">
        <v>1616</v>
      </c>
    </row>
    <row r="189" spans="1:8" ht="15" customHeight="1" x14ac:dyDescent="0.35">
      <c r="A189" s="27" t="s">
        <v>1617</v>
      </c>
      <c r="B189" s="33" t="s">
        <v>1618</v>
      </c>
      <c r="C189" s="28" t="s">
        <v>1619</v>
      </c>
      <c r="D189" s="32" t="s">
        <v>1282</v>
      </c>
      <c r="E189" s="27" t="s">
        <v>804</v>
      </c>
      <c r="F189" s="27"/>
      <c r="G189" s="27" t="s">
        <v>85</v>
      </c>
      <c r="H189" s="28" t="s">
        <v>1620</v>
      </c>
    </row>
    <row r="190" spans="1:8" ht="15" customHeight="1" x14ac:dyDescent="0.35">
      <c r="A190" s="19" t="s">
        <v>1621</v>
      </c>
      <c r="B190" s="26" t="s">
        <v>515</v>
      </c>
      <c r="C190" s="20" t="s">
        <v>1622</v>
      </c>
      <c r="D190" s="24" t="s">
        <v>1282</v>
      </c>
      <c r="E190" s="19" t="s">
        <v>804</v>
      </c>
      <c r="F190" s="19"/>
      <c r="G190" s="19" t="s">
        <v>85</v>
      </c>
      <c r="H190" s="20" t="s">
        <v>1623</v>
      </c>
    </row>
    <row r="191" spans="1:8" ht="15" customHeight="1" x14ac:dyDescent="0.35">
      <c r="A191" s="27" t="s">
        <v>1624</v>
      </c>
      <c r="B191" s="33" t="s">
        <v>1625</v>
      </c>
      <c r="C191" s="28" t="s">
        <v>1626</v>
      </c>
      <c r="D191" s="32" t="s">
        <v>1282</v>
      </c>
      <c r="E191" s="27" t="s">
        <v>804</v>
      </c>
      <c r="F191" s="27"/>
      <c r="G191" s="27" t="s">
        <v>85</v>
      </c>
      <c r="H191" s="28" t="s">
        <v>1627</v>
      </c>
    </row>
    <row r="192" spans="1:8" ht="15" customHeight="1" x14ac:dyDescent="0.35">
      <c r="A192" s="19" t="s">
        <v>1628</v>
      </c>
      <c r="B192" s="26" t="s">
        <v>1629</v>
      </c>
      <c r="C192" s="20" t="s">
        <v>1630</v>
      </c>
      <c r="D192" s="24" t="s">
        <v>1282</v>
      </c>
      <c r="E192" s="19" t="s">
        <v>804</v>
      </c>
      <c r="F192" s="19"/>
      <c r="G192" s="19" t="s">
        <v>85</v>
      </c>
      <c r="H192" s="20" t="s">
        <v>1631</v>
      </c>
    </row>
    <row r="193" spans="1:8" ht="15" customHeight="1" x14ac:dyDescent="0.35">
      <c r="A193" s="27" t="s">
        <v>1632</v>
      </c>
      <c r="B193" s="33" t="s">
        <v>498</v>
      </c>
      <c r="C193" s="28" t="s">
        <v>1633</v>
      </c>
      <c r="D193" s="32" t="s">
        <v>1291</v>
      </c>
      <c r="E193" s="27" t="s">
        <v>804</v>
      </c>
      <c r="F193" s="27"/>
      <c r="G193" s="27" t="s">
        <v>85</v>
      </c>
      <c r="H193" s="28" t="s">
        <v>1634</v>
      </c>
    </row>
    <row r="194" spans="1:8" ht="15" customHeight="1" x14ac:dyDescent="0.35">
      <c r="A194" s="19" t="s">
        <v>1635</v>
      </c>
      <c r="B194" s="26" t="s">
        <v>1636</v>
      </c>
      <c r="C194" s="20" t="s">
        <v>1637</v>
      </c>
      <c r="D194" s="24" t="s">
        <v>1291</v>
      </c>
      <c r="E194" s="19" t="s">
        <v>804</v>
      </c>
      <c r="F194" s="19"/>
      <c r="G194" s="19" t="s">
        <v>85</v>
      </c>
      <c r="H194" s="20" t="s">
        <v>1638</v>
      </c>
    </row>
    <row r="195" spans="1:8" ht="15" customHeight="1" x14ac:dyDescent="0.35">
      <c r="A195" s="27" t="s">
        <v>1639</v>
      </c>
      <c r="B195" s="33" t="s">
        <v>504</v>
      </c>
      <c r="C195" s="28" t="s">
        <v>1640</v>
      </c>
      <c r="D195" s="32" t="s">
        <v>1291</v>
      </c>
      <c r="E195" s="27" t="s">
        <v>804</v>
      </c>
      <c r="F195" s="27"/>
      <c r="G195" s="27" t="s">
        <v>85</v>
      </c>
      <c r="H195" s="28" t="s">
        <v>1641</v>
      </c>
    </row>
    <row r="196" spans="1:8" ht="15" customHeight="1" x14ac:dyDescent="0.35">
      <c r="A196" s="19" t="s">
        <v>1642</v>
      </c>
      <c r="B196" s="26" t="s">
        <v>1643</v>
      </c>
      <c r="C196" s="20" t="s">
        <v>1644</v>
      </c>
      <c r="D196" s="24" t="s">
        <v>1291</v>
      </c>
      <c r="E196" s="19" t="s">
        <v>804</v>
      </c>
      <c r="F196" s="19"/>
      <c r="G196" s="19" t="s">
        <v>85</v>
      </c>
      <c r="H196" s="20" t="s">
        <v>1645</v>
      </c>
    </row>
    <row r="197" spans="1:8" ht="15" customHeight="1" x14ac:dyDescent="0.35">
      <c r="A197" s="27" t="s">
        <v>1646</v>
      </c>
      <c r="B197" s="33" t="s">
        <v>1647</v>
      </c>
      <c r="C197" s="28" t="s">
        <v>1648</v>
      </c>
      <c r="D197" s="32" t="s">
        <v>1291</v>
      </c>
      <c r="E197" s="27" t="s">
        <v>804</v>
      </c>
      <c r="F197" s="27"/>
      <c r="G197" s="27" t="s">
        <v>85</v>
      </c>
      <c r="H197" s="28" t="s">
        <v>1649</v>
      </c>
    </row>
    <row r="198" spans="1:8" ht="15" customHeight="1" x14ac:dyDescent="0.35">
      <c r="A198" s="19" t="s">
        <v>1650</v>
      </c>
      <c r="B198" s="26" t="s">
        <v>1651</v>
      </c>
      <c r="C198" s="20" t="s">
        <v>1652</v>
      </c>
      <c r="D198" s="24" t="s">
        <v>1291</v>
      </c>
      <c r="E198" s="19" t="s">
        <v>804</v>
      </c>
      <c r="F198" s="19"/>
      <c r="G198" s="19" t="s">
        <v>85</v>
      </c>
      <c r="H198" s="20" t="s">
        <v>1653</v>
      </c>
    </row>
    <row r="199" spans="1:8" ht="15" customHeight="1" x14ac:dyDescent="0.35">
      <c r="A199" s="27" t="s">
        <v>1654</v>
      </c>
      <c r="B199" s="33" t="s">
        <v>1655</v>
      </c>
      <c r="C199" s="28" t="s">
        <v>1656</v>
      </c>
      <c r="D199" s="32" t="s">
        <v>1291</v>
      </c>
      <c r="E199" s="27" t="s">
        <v>804</v>
      </c>
      <c r="F199" s="27"/>
      <c r="G199" s="27" t="s">
        <v>85</v>
      </c>
      <c r="H199" s="28" t="s">
        <v>1657</v>
      </c>
    </row>
    <row r="200" spans="1:8" ht="15" customHeight="1" x14ac:dyDescent="0.35">
      <c r="A200" s="19" t="s">
        <v>1658</v>
      </c>
      <c r="B200" s="26" t="s">
        <v>1659</v>
      </c>
      <c r="C200" s="20" t="s">
        <v>1660</v>
      </c>
      <c r="D200" s="24" t="s">
        <v>1661</v>
      </c>
      <c r="E200" s="19" t="s">
        <v>804</v>
      </c>
      <c r="F200" s="19"/>
      <c r="G200" s="19" t="s">
        <v>85</v>
      </c>
      <c r="H200" s="20" t="s">
        <v>1662</v>
      </c>
    </row>
    <row r="201" spans="1:8" ht="15" customHeight="1" x14ac:dyDescent="0.35">
      <c r="A201" s="27" t="s">
        <v>1663</v>
      </c>
      <c r="B201" s="33" t="s">
        <v>1664</v>
      </c>
      <c r="C201" s="28" t="s">
        <v>1665</v>
      </c>
      <c r="D201" s="32" t="s">
        <v>1661</v>
      </c>
      <c r="E201" s="27" t="s">
        <v>804</v>
      </c>
      <c r="F201" s="27"/>
      <c r="G201" s="27" t="s">
        <v>85</v>
      </c>
      <c r="H201" s="28" t="s">
        <v>1666</v>
      </c>
    </row>
    <row r="202" spans="1:8" ht="15" customHeight="1" x14ac:dyDescent="0.35">
      <c r="A202" s="19" t="s">
        <v>1667</v>
      </c>
      <c r="B202" s="26" t="s">
        <v>1668</v>
      </c>
      <c r="C202" s="20" t="s">
        <v>1669</v>
      </c>
      <c r="D202" s="24" t="s">
        <v>1661</v>
      </c>
      <c r="E202" s="19" t="s">
        <v>804</v>
      </c>
      <c r="F202" s="19"/>
      <c r="G202" s="19" t="s">
        <v>85</v>
      </c>
      <c r="H202" s="20" t="s">
        <v>1670</v>
      </c>
    </row>
    <row r="203" spans="1:8" ht="15" customHeight="1" x14ac:dyDescent="0.35">
      <c r="A203" s="27" t="s">
        <v>1671</v>
      </c>
      <c r="B203" s="33" t="s">
        <v>531</v>
      </c>
      <c r="C203" s="28" t="s">
        <v>1672</v>
      </c>
      <c r="D203" s="32" t="s">
        <v>1661</v>
      </c>
      <c r="E203" s="27" t="s">
        <v>804</v>
      </c>
      <c r="F203" s="27"/>
      <c r="G203" s="27" t="s">
        <v>85</v>
      </c>
      <c r="H203" s="28" t="s">
        <v>1673</v>
      </c>
    </row>
    <row r="204" spans="1:8" ht="15" customHeight="1" x14ac:dyDescent="0.35">
      <c r="A204" s="19" t="s">
        <v>1674</v>
      </c>
      <c r="B204" s="26" t="s">
        <v>1675</v>
      </c>
      <c r="C204" s="20" t="s">
        <v>1676</v>
      </c>
      <c r="D204" s="24" t="s">
        <v>1661</v>
      </c>
      <c r="E204" s="19" t="s">
        <v>804</v>
      </c>
      <c r="F204" s="19"/>
      <c r="G204" s="19" t="s">
        <v>85</v>
      </c>
      <c r="H204" s="20" t="s">
        <v>1677</v>
      </c>
    </row>
    <row r="205" spans="1:8" ht="15" customHeight="1" x14ac:dyDescent="0.35">
      <c r="A205" s="27" t="s">
        <v>1678</v>
      </c>
      <c r="B205" s="33" t="s">
        <v>1679</v>
      </c>
      <c r="C205" s="28" t="s">
        <v>1680</v>
      </c>
      <c r="D205" s="32" t="s">
        <v>1661</v>
      </c>
      <c r="E205" s="27" t="s">
        <v>804</v>
      </c>
      <c r="F205" s="27"/>
      <c r="G205" s="27" t="s">
        <v>85</v>
      </c>
      <c r="H205" s="28" t="s">
        <v>1681</v>
      </c>
    </row>
    <row r="206" spans="1:8" ht="15" customHeight="1" x14ac:dyDescent="0.35">
      <c r="A206" s="19" t="s">
        <v>1682</v>
      </c>
      <c r="B206" s="26" t="s">
        <v>1683</v>
      </c>
      <c r="C206" s="20" t="s">
        <v>1684</v>
      </c>
      <c r="D206" s="24" t="s">
        <v>1661</v>
      </c>
      <c r="E206" s="19" t="s">
        <v>804</v>
      </c>
      <c r="F206" s="19"/>
      <c r="G206" s="19" t="s">
        <v>85</v>
      </c>
      <c r="H206" s="20" t="s">
        <v>1685</v>
      </c>
    </row>
    <row r="207" spans="1:8" ht="23.9" customHeight="1" x14ac:dyDescent="0.35">
      <c r="A207" s="27" t="s">
        <v>1686</v>
      </c>
      <c r="B207" s="33" t="s">
        <v>1377</v>
      </c>
      <c r="C207" s="28" t="s">
        <v>1687</v>
      </c>
      <c r="D207" s="32" t="s">
        <v>1379</v>
      </c>
      <c r="E207" s="27" t="s">
        <v>1337</v>
      </c>
      <c r="F207" s="27"/>
      <c r="G207" s="27" t="s">
        <v>85</v>
      </c>
      <c r="H207" s="28" t="s">
        <v>1380</v>
      </c>
    </row>
    <row r="208" spans="1:8" ht="35" customHeight="1" x14ac:dyDescent="0.35">
      <c r="A208" s="19" t="s">
        <v>1688</v>
      </c>
      <c r="B208" s="26" t="s">
        <v>1377</v>
      </c>
      <c r="C208" s="20" t="s">
        <v>1689</v>
      </c>
      <c r="D208" s="24" t="s">
        <v>1379</v>
      </c>
      <c r="E208" s="19" t="s">
        <v>1337</v>
      </c>
      <c r="F208" s="19"/>
      <c r="G208" s="19" t="s">
        <v>85</v>
      </c>
      <c r="H208" s="20" t="s">
        <v>1380</v>
      </c>
    </row>
    <row r="209" spans="1:8" ht="23.9" customHeight="1" x14ac:dyDescent="0.35">
      <c r="A209" s="27" t="s">
        <v>1690</v>
      </c>
      <c r="B209" s="33" t="s">
        <v>1691</v>
      </c>
      <c r="C209" s="28" t="s">
        <v>1692</v>
      </c>
      <c r="D209" s="32" t="s">
        <v>1693</v>
      </c>
      <c r="E209" s="27" t="s">
        <v>1006</v>
      </c>
      <c r="F209" s="27" t="s">
        <v>1694</v>
      </c>
      <c r="G209" s="27" t="s">
        <v>85</v>
      </c>
      <c r="H209" s="28" t="s">
        <v>1695</v>
      </c>
    </row>
    <row r="210" spans="1:8" ht="23.9" customHeight="1" x14ac:dyDescent="0.35">
      <c r="A210" s="19" t="s">
        <v>615</v>
      </c>
      <c r="B210" s="26" t="s">
        <v>1696</v>
      </c>
      <c r="C210" s="20" t="s">
        <v>1697</v>
      </c>
      <c r="D210" s="24" t="s">
        <v>1693</v>
      </c>
      <c r="E210" s="19" t="s">
        <v>1006</v>
      </c>
      <c r="F210" s="19" t="s">
        <v>1698</v>
      </c>
      <c r="G210" s="19" t="s">
        <v>85</v>
      </c>
      <c r="H210" s="20" t="s">
        <v>1699</v>
      </c>
    </row>
    <row r="211" spans="1:8" ht="23.9" customHeight="1" x14ac:dyDescent="0.35">
      <c r="A211" s="27" t="s">
        <v>1700</v>
      </c>
      <c r="B211" s="33" t="s">
        <v>1701</v>
      </c>
      <c r="C211" s="28" t="s">
        <v>1702</v>
      </c>
      <c r="D211" s="32" t="s">
        <v>1703</v>
      </c>
      <c r="E211" s="27" t="s">
        <v>1006</v>
      </c>
      <c r="F211" s="27" t="s">
        <v>1704</v>
      </c>
      <c r="G211" s="27" t="s">
        <v>85</v>
      </c>
      <c r="H211" s="28" t="s">
        <v>1705</v>
      </c>
    </row>
    <row r="212" spans="1:8" ht="23.9" customHeight="1" x14ac:dyDescent="0.35">
      <c r="A212" s="19" t="s">
        <v>1706</v>
      </c>
      <c r="B212" s="26" t="s">
        <v>1707</v>
      </c>
      <c r="C212" s="20" t="s">
        <v>1708</v>
      </c>
      <c r="D212" s="24" t="s">
        <v>1693</v>
      </c>
      <c r="E212" s="19" t="s">
        <v>1006</v>
      </c>
      <c r="F212" s="19" t="s">
        <v>1149</v>
      </c>
      <c r="G212" s="19" t="s">
        <v>85</v>
      </c>
      <c r="H212" s="20" t="s">
        <v>1709</v>
      </c>
    </row>
    <row r="213" spans="1:8" ht="23.9" customHeight="1" x14ac:dyDescent="0.35">
      <c r="A213" s="27" t="s">
        <v>1710</v>
      </c>
      <c r="B213" s="33" t="s">
        <v>1711</v>
      </c>
      <c r="C213" s="28" t="s">
        <v>1712</v>
      </c>
      <c r="D213" s="32" t="s">
        <v>1693</v>
      </c>
      <c r="E213" s="27" t="s">
        <v>1006</v>
      </c>
      <c r="F213" s="27" t="s">
        <v>1713</v>
      </c>
      <c r="G213" s="27" t="s">
        <v>85</v>
      </c>
      <c r="H213" s="28" t="s">
        <v>1714</v>
      </c>
    </row>
    <row r="214" spans="1:8" ht="23.9" customHeight="1" x14ac:dyDescent="0.35">
      <c r="A214" s="19" t="s">
        <v>1715</v>
      </c>
      <c r="B214" s="26" t="s">
        <v>1716</v>
      </c>
      <c r="C214" s="20" t="s">
        <v>1717</v>
      </c>
      <c r="D214" s="24" t="s">
        <v>1216</v>
      </c>
      <c r="E214" s="19" t="s">
        <v>1006</v>
      </c>
      <c r="F214" s="19" t="s">
        <v>1718</v>
      </c>
      <c r="G214" s="19" t="s">
        <v>85</v>
      </c>
      <c r="H214" s="20" t="s">
        <v>1719</v>
      </c>
    </row>
    <row r="215" spans="1:8" ht="23.9" customHeight="1" x14ac:dyDescent="0.35">
      <c r="A215" s="27" t="s">
        <v>1720</v>
      </c>
      <c r="B215" s="33" t="s">
        <v>1721</v>
      </c>
      <c r="C215" s="28" t="s">
        <v>1722</v>
      </c>
      <c r="D215" s="32" t="s">
        <v>1693</v>
      </c>
      <c r="E215" s="27" t="s">
        <v>1006</v>
      </c>
      <c r="F215" s="27" t="s">
        <v>1723</v>
      </c>
      <c r="G215" s="27" t="s">
        <v>85</v>
      </c>
      <c r="H215" s="28" t="s">
        <v>1724</v>
      </c>
    </row>
    <row r="216" spans="1:8" ht="23.9" customHeight="1" x14ac:dyDescent="0.35">
      <c r="A216" s="19" t="s">
        <v>1725</v>
      </c>
      <c r="B216" s="26" t="s">
        <v>1726</v>
      </c>
      <c r="C216" s="20" t="s">
        <v>1727</v>
      </c>
      <c r="D216" s="24" t="s">
        <v>1693</v>
      </c>
      <c r="E216" s="19" t="s">
        <v>1006</v>
      </c>
      <c r="F216" s="19" t="s">
        <v>1728</v>
      </c>
      <c r="G216" s="19" t="s">
        <v>85</v>
      </c>
      <c r="H216" s="20" t="s">
        <v>1729</v>
      </c>
    </row>
    <row r="217" spans="1:8" ht="15" customHeight="1" x14ac:dyDescent="0.35">
      <c r="A217" s="27" t="s">
        <v>1730</v>
      </c>
      <c r="B217" s="33" t="s">
        <v>1731</v>
      </c>
      <c r="C217" s="28" t="s">
        <v>1732</v>
      </c>
      <c r="D217" s="32" t="s">
        <v>1733</v>
      </c>
      <c r="E217" s="27" t="s">
        <v>1006</v>
      </c>
      <c r="F217" s="27"/>
      <c r="G217" s="27" t="s">
        <v>85</v>
      </c>
      <c r="H217" s="28" t="s">
        <v>1734</v>
      </c>
    </row>
  </sheetData>
  <autoFilter ref="A1:H217" xr:uid="{00000000-0009-0000-0000-000007000000}"/>
  <hyperlinks>
    <hyperlink ref="B2" r:id="rId1" xr:uid="{00000000-0004-0000-0700-000000000000}"/>
    <hyperlink ref="B3" r:id="rId2" xr:uid="{00000000-0004-0000-0700-000001000000}"/>
    <hyperlink ref="B4" r:id="rId3" xr:uid="{00000000-0004-0000-0700-000002000000}"/>
    <hyperlink ref="B5" r:id="rId4" xr:uid="{00000000-0004-0000-0700-000003000000}"/>
    <hyperlink ref="B6" r:id="rId5" xr:uid="{00000000-0004-0000-0700-000004000000}"/>
    <hyperlink ref="B7" r:id="rId6" xr:uid="{00000000-0004-0000-0700-000005000000}"/>
    <hyperlink ref="B8" r:id="rId7" xr:uid="{00000000-0004-0000-0700-000006000000}"/>
    <hyperlink ref="B9" r:id="rId8" xr:uid="{00000000-0004-0000-0700-000007000000}"/>
    <hyperlink ref="B10" r:id="rId9" xr:uid="{00000000-0004-0000-0700-000008000000}"/>
    <hyperlink ref="B11" r:id="rId10" xr:uid="{00000000-0004-0000-0700-000009000000}"/>
    <hyperlink ref="B12" r:id="rId11" xr:uid="{00000000-0004-0000-0700-00000A000000}"/>
    <hyperlink ref="B13" r:id="rId12" xr:uid="{00000000-0004-0000-0700-00000B000000}"/>
    <hyperlink ref="B14" r:id="rId13" xr:uid="{00000000-0004-0000-0700-00000C000000}"/>
    <hyperlink ref="B15" r:id="rId14" xr:uid="{00000000-0004-0000-0700-00000D000000}"/>
    <hyperlink ref="B16" r:id="rId15" xr:uid="{00000000-0004-0000-0700-00000E000000}"/>
    <hyperlink ref="B17" r:id="rId16" xr:uid="{00000000-0004-0000-0700-00000F000000}"/>
    <hyperlink ref="B18" r:id="rId17" xr:uid="{00000000-0004-0000-0700-000010000000}"/>
    <hyperlink ref="B19" r:id="rId18" xr:uid="{00000000-0004-0000-0700-000011000000}"/>
    <hyperlink ref="B20" r:id="rId19" xr:uid="{00000000-0004-0000-0700-000012000000}"/>
    <hyperlink ref="B21" r:id="rId20" xr:uid="{00000000-0004-0000-0700-000013000000}"/>
    <hyperlink ref="B22" r:id="rId21" xr:uid="{00000000-0004-0000-0700-000014000000}"/>
    <hyperlink ref="B23" r:id="rId22" xr:uid="{00000000-0004-0000-0700-000015000000}"/>
    <hyperlink ref="B24" r:id="rId23" xr:uid="{00000000-0004-0000-0700-000016000000}"/>
    <hyperlink ref="B25" r:id="rId24" xr:uid="{00000000-0004-0000-0700-000017000000}"/>
    <hyperlink ref="B26" r:id="rId25" xr:uid="{00000000-0004-0000-0700-000018000000}"/>
    <hyperlink ref="B27" r:id="rId26" xr:uid="{00000000-0004-0000-0700-000019000000}"/>
    <hyperlink ref="B28" r:id="rId27" xr:uid="{00000000-0004-0000-0700-00001A000000}"/>
    <hyperlink ref="B29" r:id="rId28" xr:uid="{00000000-0004-0000-0700-00001B000000}"/>
    <hyperlink ref="B30" r:id="rId29" xr:uid="{00000000-0004-0000-0700-00001C000000}"/>
    <hyperlink ref="B31" r:id="rId30" xr:uid="{00000000-0004-0000-0700-00001D000000}"/>
    <hyperlink ref="B32" r:id="rId31" xr:uid="{00000000-0004-0000-0700-00001E000000}"/>
    <hyperlink ref="B33" r:id="rId32" xr:uid="{00000000-0004-0000-0700-00001F000000}"/>
    <hyperlink ref="B34" r:id="rId33" xr:uid="{00000000-0004-0000-0700-000020000000}"/>
    <hyperlink ref="B35" r:id="rId34" xr:uid="{00000000-0004-0000-0700-000021000000}"/>
    <hyperlink ref="B36" r:id="rId35" xr:uid="{00000000-0004-0000-0700-000022000000}"/>
    <hyperlink ref="B37" r:id="rId36" xr:uid="{00000000-0004-0000-0700-000023000000}"/>
    <hyperlink ref="B38" r:id="rId37" xr:uid="{00000000-0004-0000-0700-000024000000}"/>
    <hyperlink ref="B39" r:id="rId38" xr:uid="{00000000-0004-0000-0700-000025000000}"/>
    <hyperlink ref="B40" r:id="rId39" xr:uid="{00000000-0004-0000-0700-000026000000}"/>
    <hyperlink ref="B41" r:id="rId40" xr:uid="{00000000-0004-0000-0700-000027000000}"/>
    <hyperlink ref="B42" r:id="rId41" xr:uid="{00000000-0004-0000-0700-000028000000}"/>
    <hyperlink ref="B43" r:id="rId42" xr:uid="{00000000-0004-0000-0700-000029000000}"/>
    <hyperlink ref="B44" r:id="rId43" xr:uid="{00000000-0004-0000-0700-00002A000000}"/>
    <hyperlink ref="B45" r:id="rId44" xr:uid="{00000000-0004-0000-0700-00002B000000}"/>
    <hyperlink ref="B46" r:id="rId45" xr:uid="{00000000-0004-0000-0700-00002C000000}"/>
    <hyperlink ref="B47" r:id="rId46" xr:uid="{00000000-0004-0000-0700-00002D000000}"/>
    <hyperlink ref="B48" r:id="rId47" xr:uid="{00000000-0004-0000-0700-00002E000000}"/>
    <hyperlink ref="B49" r:id="rId48" xr:uid="{00000000-0004-0000-0700-00002F000000}"/>
    <hyperlink ref="B50" r:id="rId49" xr:uid="{00000000-0004-0000-0700-000030000000}"/>
    <hyperlink ref="B51" r:id="rId50" xr:uid="{00000000-0004-0000-0700-000031000000}"/>
    <hyperlink ref="B52" r:id="rId51" xr:uid="{00000000-0004-0000-0700-000032000000}"/>
    <hyperlink ref="B53" r:id="rId52" xr:uid="{00000000-0004-0000-0700-000033000000}"/>
    <hyperlink ref="B54" r:id="rId53" xr:uid="{00000000-0004-0000-0700-000034000000}"/>
    <hyperlink ref="B55" r:id="rId54" xr:uid="{00000000-0004-0000-0700-000035000000}"/>
    <hyperlink ref="B56" r:id="rId55" xr:uid="{00000000-0004-0000-0700-000036000000}"/>
    <hyperlink ref="B57" r:id="rId56" xr:uid="{00000000-0004-0000-0700-000037000000}"/>
    <hyperlink ref="B58" r:id="rId57" xr:uid="{00000000-0004-0000-0700-000038000000}"/>
    <hyperlink ref="B59" r:id="rId58" xr:uid="{00000000-0004-0000-0700-000039000000}"/>
    <hyperlink ref="B60" r:id="rId59" xr:uid="{00000000-0004-0000-0700-00003A000000}"/>
    <hyperlink ref="B61" r:id="rId60" xr:uid="{00000000-0004-0000-0700-00003B000000}"/>
    <hyperlink ref="B62" r:id="rId61" xr:uid="{00000000-0004-0000-0700-00003C000000}"/>
    <hyperlink ref="B63" r:id="rId62" xr:uid="{00000000-0004-0000-0700-00003D000000}"/>
    <hyperlink ref="B64" r:id="rId63" xr:uid="{00000000-0004-0000-0700-00003E000000}"/>
    <hyperlink ref="B65" r:id="rId64" xr:uid="{00000000-0004-0000-0700-00003F000000}"/>
    <hyperlink ref="B66" r:id="rId65" xr:uid="{00000000-0004-0000-0700-000040000000}"/>
    <hyperlink ref="B67" r:id="rId66" xr:uid="{00000000-0004-0000-0700-000041000000}"/>
    <hyperlink ref="B68" r:id="rId67" xr:uid="{00000000-0004-0000-0700-000042000000}"/>
    <hyperlink ref="B69" r:id="rId68" xr:uid="{00000000-0004-0000-0700-000043000000}"/>
    <hyperlink ref="B70" r:id="rId69" xr:uid="{00000000-0004-0000-0700-000044000000}"/>
    <hyperlink ref="B71" r:id="rId70" xr:uid="{00000000-0004-0000-0700-000045000000}"/>
    <hyperlink ref="B72" r:id="rId71" xr:uid="{00000000-0004-0000-0700-000046000000}"/>
    <hyperlink ref="B73" r:id="rId72" xr:uid="{00000000-0004-0000-0700-000047000000}"/>
    <hyperlink ref="B74" r:id="rId73" xr:uid="{00000000-0004-0000-0700-000048000000}"/>
    <hyperlink ref="B75" r:id="rId74" xr:uid="{00000000-0004-0000-0700-000049000000}"/>
    <hyperlink ref="B76" r:id="rId75" xr:uid="{00000000-0004-0000-0700-00004A000000}"/>
    <hyperlink ref="B77" r:id="rId76" xr:uid="{00000000-0004-0000-0700-00004B000000}"/>
    <hyperlink ref="B78" r:id="rId77" xr:uid="{00000000-0004-0000-0700-00004C000000}"/>
    <hyperlink ref="B79" r:id="rId78" xr:uid="{00000000-0004-0000-0700-00004D000000}"/>
    <hyperlink ref="B80" r:id="rId79" xr:uid="{00000000-0004-0000-0700-00004E000000}"/>
    <hyperlink ref="B81" r:id="rId80" xr:uid="{00000000-0004-0000-0700-00004F000000}"/>
    <hyperlink ref="B82" r:id="rId81" xr:uid="{00000000-0004-0000-0700-000050000000}"/>
    <hyperlink ref="B83" r:id="rId82" xr:uid="{00000000-0004-0000-0700-000051000000}"/>
    <hyperlink ref="B84" r:id="rId83" xr:uid="{00000000-0004-0000-0700-000052000000}"/>
    <hyperlink ref="B85" r:id="rId84" xr:uid="{00000000-0004-0000-0700-000053000000}"/>
    <hyperlink ref="B86" r:id="rId85" xr:uid="{00000000-0004-0000-0700-000054000000}"/>
    <hyperlink ref="B87" r:id="rId86" xr:uid="{00000000-0004-0000-0700-000055000000}"/>
    <hyperlink ref="B88" r:id="rId87" xr:uid="{00000000-0004-0000-0700-000056000000}"/>
    <hyperlink ref="B89" r:id="rId88" xr:uid="{00000000-0004-0000-0700-000057000000}"/>
    <hyperlink ref="B90" r:id="rId89" xr:uid="{00000000-0004-0000-0700-000058000000}"/>
    <hyperlink ref="B91" r:id="rId90" xr:uid="{00000000-0004-0000-0700-000059000000}"/>
    <hyperlink ref="B92" r:id="rId91" xr:uid="{00000000-0004-0000-0700-00005A000000}"/>
    <hyperlink ref="B93" r:id="rId92" xr:uid="{00000000-0004-0000-0700-00005B000000}"/>
    <hyperlink ref="B94" r:id="rId93" xr:uid="{00000000-0004-0000-0700-00005C000000}"/>
    <hyperlink ref="B95" r:id="rId94" xr:uid="{00000000-0004-0000-0700-00005D000000}"/>
    <hyperlink ref="B96" r:id="rId95" xr:uid="{00000000-0004-0000-0700-00005E000000}"/>
    <hyperlink ref="B97" r:id="rId96" xr:uid="{00000000-0004-0000-0700-00005F000000}"/>
    <hyperlink ref="B98" r:id="rId97" xr:uid="{00000000-0004-0000-0700-000060000000}"/>
    <hyperlink ref="B99" r:id="rId98" xr:uid="{00000000-0004-0000-0700-000061000000}"/>
    <hyperlink ref="B100" r:id="rId99" xr:uid="{00000000-0004-0000-0700-000062000000}"/>
    <hyperlink ref="B101" r:id="rId100" xr:uid="{00000000-0004-0000-0700-000063000000}"/>
    <hyperlink ref="B102" r:id="rId101" xr:uid="{00000000-0004-0000-0700-000064000000}"/>
    <hyperlink ref="B103" r:id="rId102" xr:uid="{00000000-0004-0000-0700-000065000000}"/>
    <hyperlink ref="B104" r:id="rId103" xr:uid="{00000000-0004-0000-0700-000066000000}"/>
    <hyperlink ref="B105" r:id="rId104" xr:uid="{00000000-0004-0000-0700-000067000000}"/>
    <hyperlink ref="B106" r:id="rId105" xr:uid="{00000000-0004-0000-0700-000068000000}"/>
    <hyperlink ref="B107" r:id="rId106" xr:uid="{00000000-0004-0000-0700-000069000000}"/>
    <hyperlink ref="B108" r:id="rId107" xr:uid="{00000000-0004-0000-0700-00006A000000}"/>
    <hyperlink ref="B109" r:id="rId108" xr:uid="{00000000-0004-0000-0700-00006B000000}"/>
    <hyperlink ref="B110" r:id="rId109" xr:uid="{00000000-0004-0000-0700-00006C000000}"/>
    <hyperlink ref="B111" r:id="rId110" xr:uid="{00000000-0004-0000-0700-00006D000000}"/>
    <hyperlink ref="B112" r:id="rId111" xr:uid="{00000000-0004-0000-0700-00006E000000}"/>
    <hyperlink ref="B113" r:id="rId112" xr:uid="{00000000-0004-0000-0700-00006F000000}"/>
    <hyperlink ref="B114" r:id="rId113" xr:uid="{00000000-0004-0000-0700-000070000000}"/>
    <hyperlink ref="B115" r:id="rId114" xr:uid="{00000000-0004-0000-0700-000071000000}"/>
    <hyperlink ref="B116" r:id="rId115" xr:uid="{00000000-0004-0000-0700-000072000000}"/>
    <hyperlink ref="B117" r:id="rId116" xr:uid="{00000000-0004-0000-0700-000073000000}"/>
    <hyperlink ref="B118" r:id="rId117" xr:uid="{00000000-0004-0000-0700-000074000000}"/>
    <hyperlink ref="B119" r:id="rId118" xr:uid="{00000000-0004-0000-0700-000075000000}"/>
    <hyperlink ref="B120" r:id="rId119" xr:uid="{00000000-0004-0000-0700-000076000000}"/>
    <hyperlink ref="B121" r:id="rId120" xr:uid="{00000000-0004-0000-0700-000077000000}"/>
    <hyperlink ref="B122" r:id="rId121" xr:uid="{00000000-0004-0000-0700-000078000000}"/>
    <hyperlink ref="B123" r:id="rId122" xr:uid="{00000000-0004-0000-0700-000079000000}"/>
    <hyperlink ref="B124" r:id="rId123" xr:uid="{00000000-0004-0000-0700-00007A000000}"/>
    <hyperlink ref="B125" r:id="rId124" xr:uid="{00000000-0004-0000-0700-00007B000000}"/>
    <hyperlink ref="B126" r:id="rId125" xr:uid="{00000000-0004-0000-0700-00007C000000}"/>
    <hyperlink ref="B127" r:id="rId126" xr:uid="{00000000-0004-0000-0700-00007D000000}"/>
    <hyperlink ref="B128" r:id="rId127" xr:uid="{00000000-0004-0000-0700-00007E000000}"/>
    <hyperlink ref="B129" r:id="rId128" xr:uid="{00000000-0004-0000-0700-00007F000000}"/>
    <hyperlink ref="B130" r:id="rId129" xr:uid="{00000000-0004-0000-0700-000080000000}"/>
    <hyperlink ref="B131" r:id="rId130" xr:uid="{00000000-0004-0000-0700-000081000000}"/>
    <hyperlink ref="B132" r:id="rId131" xr:uid="{00000000-0004-0000-0700-000082000000}"/>
    <hyperlink ref="B133" r:id="rId132" xr:uid="{00000000-0004-0000-0700-000083000000}"/>
    <hyperlink ref="B134" r:id="rId133" xr:uid="{00000000-0004-0000-0700-000084000000}"/>
    <hyperlink ref="B135" r:id="rId134" xr:uid="{00000000-0004-0000-0700-000085000000}"/>
    <hyperlink ref="B136" r:id="rId135" xr:uid="{00000000-0004-0000-0700-000086000000}"/>
    <hyperlink ref="B137" r:id="rId136" xr:uid="{00000000-0004-0000-0700-000087000000}"/>
    <hyperlink ref="B138" r:id="rId137" xr:uid="{00000000-0004-0000-0700-000088000000}"/>
    <hyperlink ref="B139" r:id="rId138" xr:uid="{00000000-0004-0000-0700-000089000000}"/>
    <hyperlink ref="B140" r:id="rId139" xr:uid="{00000000-0004-0000-0700-00008A000000}"/>
    <hyperlink ref="B141" r:id="rId140" xr:uid="{00000000-0004-0000-0700-00008B000000}"/>
    <hyperlink ref="B142" r:id="rId141" xr:uid="{00000000-0004-0000-0700-00008C000000}"/>
    <hyperlink ref="B143" r:id="rId142" xr:uid="{00000000-0004-0000-0700-00008D000000}"/>
    <hyperlink ref="B144" r:id="rId143" xr:uid="{00000000-0004-0000-0700-00008E000000}"/>
    <hyperlink ref="B145" r:id="rId144" xr:uid="{00000000-0004-0000-0700-00008F000000}"/>
    <hyperlink ref="B146" r:id="rId145" xr:uid="{00000000-0004-0000-0700-000090000000}"/>
    <hyperlink ref="B147" r:id="rId146" xr:uid="{00000000-0004-0000-0700-000091000000}"/>
    <hyperlink ref="B148" r:id="rId147" xr:uid="{00000000-0004-0000-0700-000092000000}"/>
    <hyperlink ref="B149" r:id="rId148" xr:uid="{00000000-0004-0000-0700-000093000000}"/>
    <hyperlink ref="B150" r:id="rId149" xr:uid="{00000000-0004-0000-0700-000094000000}"/>
    <hyperlink ref="B151" r:id="rId150" xr:uid="{00000000-0004-0000-0700-000095000000}"/>
    <hyperlink ref="B152" r:id="rId151" xr:uid="{00000000-0004-0000-0700-000096000000}"/>
    <hyperlink ref="B153" r:id="rId152" xr:uid="{00000000-0004-0000-0700-000097000000}"/>
    <hyperlink ref="B154" r:id="rId153" xr:uid="{00000000-0004-0000-0700-000098000000}"/>
    <hyperlink ref="B155" r:id="rId154" xr:uid="{00000000-0004-0000-0700-000099000000}"/>
    <hyperlink ref="B156" r:id="rId155" xr:uid="{00000000-0004-0000-0700-00009A000000}"/>
    <hyperlink ref="B157" r:id="rId156" xr:uid="{00000000-0004-0000-0700-00009B000000}"/>
    <hyperlink ref="B158" r:id="rId157" xr:uid="{00000000-0004-0000-0700-00009C000000}"/>
    <hyperlink ref="B159" r:id="rId158" xr:uid="{00000000-0004-0000-0700-00009D000000}"/>
    <hyperlink ref="B160" r:id="rId159" xr:uid="{00000000-0004-0000-0700-00009E000000}"/>
    <hyperlink ref="B161" r:id="rId160" xr:uid="{00000000-0004-0000-0700-00009F000000}"/>
    <hyperlink ref="B162" r:id="rId161" xr:uid="{00000000-0004-0000-0700-0000A0000000}"/>
    <hyperlink ref="B163" r:id="rId162" xr:uid="{00000000-0004-0000-0700-0000A1000000}"/>
    <hyperlink ref="B164" r:id="rId163" xr:uid="{00000000-0004-0000-0700-0000A2000000}"/>
    <hyperlink ref="B165" r:id="rId164" xr:uid="{00000000-0004-0000-0700-0000A3000000}"/>
    <hyperlink ref="B166" r:id="rId165" xr:uid="{00000000-0004-0000-0700-0000A4000000}"/>
    <hyperlink ref="B167" r:id="rId166" xr:uid="{00000000-0004-0000-0700-0000A5000000}"/>
    <hyperlink ref="B168" r:id="rId167" xr:uid="{00000000-0004-0000-0700-0000A6000000}"/>
    <hyperlink ref="B169" r:id="rId168" xr:uid="{00000000-0004-0000-0700-0000A7000000}"/>
    <hyperlink ref="B170" r:id="rId169" xr:uid="{00000000-0004-0000-0700-0000A8000000}"/>
    <hyperlink ref="B171" r:id="rId170" xr:uid="{00000000-0004-0000-0700-0000A9000000}"/>
    <hyperlink ref="B172" r:id="rId171" xr:uid="{00000000-0004-0000-0700-0000AA000000}"/>
    <hyperlink ref="B173" r:id="rId172" xr:uid="{00000000-0004-0000-0700-0000AB000000}"/>
    <hyperlink ref="B174" r:id="rId173" xr:uid="{00000000-0004-0000-0700-0000AC000000}"/>
    <hyperlink ref="B175" r:id="rId174" xr:uid="{00000000-0004-0000-0700-0000AD000000}"/>
    <hyperlink ref="B176" r:id="rId175" xr:uid="{00000000-0004-0000-0700-0000AE000000}"/>
    <hyperlink ref="B177" r:id="rId176" xr:uid="{00000000-0004-0000-0700-0000AF000000}"/>
    <hyperlink ref="B178" r:id="rId177" xr:uid="{00000000-0004-0000-0700-0000B0000000}"/>
    <hyperlink ref="B179" r:id="rId178" xr:uid="{00000000-0004-0000-0700-0000B1000000}"/>
    <hyperlink ref="B180" r:id="rId179" xr:uid="{00000000-0004-0000-0700-0000B2000000}"/>
    <hyperlink ref="B181" r:id="rId180" xr:uid="{00000000-0004-0000-0700-0000B3000000}"/>
    <hyperlink ref="B182" r:id="rId181" xr:uid="{00000000-0004-0000-0700-0000B4000000}"/>
    <hyperlink ref="B183" r:id="rId182" xr:uid="{00000000-0004-0000-0700-0000B5000000}"/>
    <hyperlink ref="B184" r:id="rId183" xr:uid="{00000000-0004-0000-0700-0000B6000000}"/>
    <hyperlink ref="B185" r:id="rId184" xr:uid="{00000000-0004-0000-0700-0000B7000000}"/>
    <hyperlink ref="B186" r:id="rId185" xr:uid="{00000000-0004-0000-0700-0000B8000000}"/>
    <hyperlink ref="B187" r:id="rId186" xr:uid="{00000000-0004-0000-0700-0000B9000000}"/>
    <hyperlink ref="B188" r:id="rId187" xr:uid="{00000000-0004-0000-0700-0000BA000000}"/>
    <hyperlink ref="B189" r:id="rId188" xr:uid="{00000000-0004-0000-0700-0000BB000000}"/>
    <hyperlink ref="B190" r:id="rId189" xr:uid="{00000000-0004-0000-0700-0000BC000000}"/>
    <hyperlink ref="B191" r:id="rId190" xr:uid="{00000000-0004-0000-0700-0000BD000000}"/>
    <hyperlink ref="B192" r:id="rId191" xr:uid="{00000000-0004-0000-0700-0000BE000000}"/>
    <hyperlink ref="B193" r:id="rId192" xr:uid="{00000000-0004-0000-0700-0000BF000000}"/>
    <hyperlink ref="B194" r:id="rId193" xr:uid="{00000000-0004-0000-0700-0000C0000000}"/>
    <hyperlink ref="B195" r:id="rId194" xr:uid="{00000000-0004-0000-0700-0000C1000000}"/>
    <hyperlink ref="B196" r:id="rId195" xr:uid="{00000000-0004-0000-0700-0000C2000000}"/>
    <hyperlink ref="B197" r:id="rId196" xr:uid="{00000000-0004-0000-0700-0000C3000000}"/>
    <hyperlink ref="B198" r:id="rId197" xr:uid="{00000000-0004-0000-0700-0000C4000000}"/>
    <hyperlink ref="B199" r:id="rId198" xr:uid="{00000000-0004-0000-0700-0000C5000000}"/>
    <hyperlink ref="B200" r:id="rId199" xr:uid="{00000000-0004-0000-0700-0000C6000000}"/>
    <hyperlink ref="B201" r:id="rId200" xr:uid="{00000000-0004-0000-0700-0000C7000000}"/>
    <hyperlink ref="B202" r:id="rId201" xr:uid="{00000000-0004-0000-0700-0000C8000000}"/>
    <hyperlink ref="B203" r:id="rId202" xr:uid="{00000000-0004-0000-0700-0000C9000000}"/>
    <hyperlink ref="B204" r:id="rId203" xr:uid="{00000000-0004-0000-0700-0000CA000000}"/>
    <hyperlink ref="B205" r:id="rId204" xr:uid="{00000000-0004-0000-0700-0000CB000000}"/>
    <hyperlink ref="B206" r:id="rId205" xr:uid="{00000000-0004-0000-0700-0000CC000000}"/>
    <hyperlink ref="B207" r:id="rId206" xr:uid="{00000000-0004-0000-0700-0000CD000000}"/>
    <hyperlink ref="B208" r:id="rId207" xr:uid="{00000000-0004-0000-0700-0000CE000000}"/>
    <hyperlink ref="B209" r:id="rId208" xr:uid="{00000000-0004-0000-0700-0000CF000000}"/>
    <hyperlink ref="B210" r:id="rId209" xr:uid="{00000000-0004-0000-0700-0000D0000000}"/>
    <hyperlink ref="B211" r:id="rId210" xr:uid="{00000000-0004-0000-0700-0000D1000000}"/>
    <hyperlink ref="B212" r:id="rId211" xr:uid="{00000000-0004-0000-0700-0000D2000000}"/>
    <hyperlink ref="B213" r:id="rId212" xr:uid="{00000000-0004-0000-0700-0000D3000000}"/>
    <hyperlink ref="B214" r:id="rId213" xr:uid="{00000000-0004-0000-0700-0000D4000000}"/>
    <hyperlink ref="B215" r:id="rId214" xr:uid="{00000000-0004-0000-0700-0000D5000000}"/>
    <hyperlink ref="B216" r:id="rId215" xr:uid="{00000000-0004-0000-0700-0000D6000000}"/>
    <hyperlink ref="B217" r:id="rId216" xr:uid="{00000000-0004-0000-0700-0000D7000000}"/>
  </hyperlink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B6B6B"/>
    <pageSetUpPr fitToPage="1"/>
  </sheetPr>
  <dimension ref="A1:E160"/>
  <sheetViews>
    <sheetView zoomScaleNormal="100" workbookViewId="0">
      <pane ySplit="1" topLeftCell="A2" activePane="bottomLeft" state="frozen"/>
      <selection pane="bottomLeft"/>
    </sheetView>
  </sheetViews>
  <sheetFormatPr defaultColWidth="8.6328125" defaultRowHeight="14.5" x14ac:dyDescent="0.35"/>
  <cols>
    <col min="1" max="1" width="34" customWidth="1"/>
    <col min="2" max="2" width="30" customWidth="1"/>
    <col min="3" max="3" width="48" customWidth="1"/>
    <col min="4" max="4" width="60" customWidth="1"/>
    <col min="5" max="5" width="40" customWidth="1"/>
  </cols>
  <sheetData>
    <row r="1" spans="1:5" ht="17.399999999999999" customHeight="1" x14ac:dyDescent="0.35">
      <c r="A1" s="73" t="s">
        <v>1735</v>
      </c>
      <c r="B1" s="62"/>
      <c r="C1" s="62"/>
      <c r="D1" s="62"/>
      <c r="E1" s="62"/>
    </row>
    <row r="2" spans="1:5" ht="15" customHeight="1" x14ac:dyDescent="0.35">
      <c r="A2" s="43" t="s">
        <v>1736</v>
      </c>
    </row>
    <row r="3" spans="1:5" ht="15" customHeight="1" x14ac:dyDescent="0.35">
      <c r="A3" s="43" t="s">
        <v>1737</v>
      </c>
    </row>
    <row r="4" spans="1:5" ht="15" customHeight="1" x14ac:dyDescent="0.35">
      <c r="A4" s="74" t="s">
        <v>1738</v>
      </c>
      <c r="B4" s="62"/>
      <c r="C4" s="62"/>
      <c r="D4" s="62"/>
      <c r="E4" s="62"/>
    </row>
    <row r="5" spans="1:5" ht="15" customHeight="1" x14ac:dyDescent="0.35">
      <c r="B5" s="75" t="s">
        <v>1739</v>
      </c>
      <c r="C5" s="75" t="s">
        <v>1740</v>
      </c>
      <c r="D5" s="75" t="s">
        <v>1741</v>
      </c>
    </row>
    <row r="6" spans="1:5" ht="23.9" customHeight="1" x14ac:dyDescent="0.35">
      <c r="B6" s="76" t="s">
        <v>1742</v>
      </c>
      <c r="C6" s="76" t="s">
        <v>1743</v>
      </c>
      <c r="D6" s="76" t="s">
        <v>1744</v>
      </c>
    </row>
    <row r="7" spans="1:5" ht="15" customHeight="1" x14ac:dyDescent="0.35">
      <c r="B7" s="76" t="s">
        <v>1745</v>
      </c>
      <c r="C7" s="76" t="s">
        <v>1746</v>
      </c>
      <c r="D7" s="76" t="s">
        <v>1747</v>
      </c>
    </row>
    <row r="8" spans="1:5" ht="23.9" customHeight="1" x14ac:dyDescent="0.35">
      <c r="B8" s="76" t="s">
        <v>1748</v>
      </c>
      <c r="C8" s="76" t="s">
        <v>1749</v>
      </c>
      <c r="D8" s="76" t="s">
        <v>1750</v>
      </c>
    </row>
    <row r="9" spans="1:5" ht="15" customHeight="1" x14ac:dyDescent="0.35">
      <c r="B9" s="76" t="s">
        <v>1751</v>
      </c>
      <c r="C9" s="76" t="s">
        <v>1752</v>
      </c>
      <c r="D9" s="76" t="s">
        <v>1753</v>
      </c>
    </row>
    <row r="10" spans="1:5" ht="15" customHeight="1" x14ac:dyDescent="0.35">
      <c r="A10" s="43" t="s">
        <v>1754</v>
      </c>
    </row>
    <row r="11" spans="1:5" ht="15" customHeight="1" x14ac:dyDescent="0.35">
      <c r="A11" s="43" t="s">
        <v>1755</v>
      </c>
    </row>
    <row r="12" spans="1:5" ht="15" customHeight="1" x14ac:dyDescent="0.35">
      <c r="A12" s="74" t="s">
        <v>1756</v>
      </c>
      <c r="B12" s="62"/>
      <c r="C12" s="62"/>
      <c r="D12" s="62"/>
      <c r="E12" s="62"/>
    </row>
    <row r="13" spans="1:5" ht="15" customHeight="1" x14ac:dyDescent="0.35">
      <c r="B13" s="75" t="s">
        <v>1739</v>
      </c>
      <c r="C13" s="75" t="s">
        <v>1740</v>
      </c>
      <c r="D13" s="75" t="s">
        <v>1741</v>
      </c>
    </row>
    <row r="14" spans="1:5" ht="23.9" customHeight="1" x14ac:dyDescent="0.35">
      <c r="B14" s="76" t="s">
        <v>1757</v>
      </c>
      <c r="C14" s="76" t="s">
        <v>1758</v>
      </c>
      <c r="D14" s="76" t="s">
        <v>1759</v>
      </c>
    </row>
    <row r="15" spans="1:5" ht="23.9" customHeight="1" x14ac:dyDescent="0.35">
      <c r="B15" s="76" t="s">
        <v>1760</v>
      </c>
      <c r="C15" s="76" t="s">
        <v>1761</v>
      </c>
      <c r="D15" s="76" t="s">
        <v>1762</v>
      </c>
    </row>
    <row r="16" spans="1:5" ht="15" customHeight="1" x14ac:dyDescent="0.35">
      <c r="A16" s="43" t="s">
        <v>1763</v>
      </c>
    </row>
    <row r="17" spans="1:5" ht="15" customHeight="1" x14ac:dyDescent="0.35">
      <c r="A17" s="43" t="s">
        <v>1764</v>
      </c>
    </row>
    <row r="18" spans="1:5" ht="15" customHeight="1" x14ac:dyDescent="0.35">
      <c r="A18" s="74" t="s">
        <v>1765</v>
      </c>
      <c r="B18" s="62"/>
      <c r="C18" s="62"/>
      <c r="D18" s="62"/>
      <c r="E18" s="62"/>
    </row>
    <row r="19" spans="1:5" ht="15" customHeight="1" x14ac:dyDescent="0.35">
      <c r="B19" s="75" t="s">
        <v>1739</v>
      </c>
      <c r="C19" s="75" t="s">
        <v>1740</v>
      </c>
      <c r="D19" s="75" t="s">
        <v>1741</v>
      </c>
    </row>
    <row r="20" spans="1:5" ht="15" customHeight="1" x14ac:dyDescent="0.35">
      <c r="B20" s="76" t="s">
        <v>1766</v>
      </c>
      <c r="C20" s="76" t="s">
        <v>1767</v>
      </c>
      <c r="D20" s="76" t="s">
        <v>1768</v>
      </c>
    </row>
    <row r="21" spans="1:5" ht="23.9" customHeight="1" x14ac:dyDescent="0.35">
      <c r="B21" s="76" t="s">
        <v>1769</v>
      </c>
      <c r="C21" s="76" t="s">
        <v>1770</v>
      </c>
      <c r="D21" s="76" t="s">
        <v>1771</v>
      </c>
    </row>
    <row r="22" spans="1:5" ht="23.9" customHeight="1" x14ac:dyDescent="0.35">
      <c r="A22" s="76" t="s">
        <v>1772</v>
      </c>
    </row>
    <row r="23" spans="1:5" ht="15" customHeight="1" x14ac:dyDescent="0.35">
      <c r="A23" s="43" t="s">
        <v>1773</v>
      </c>
    </row>
    <row r="24" spans="1:5" ht="15" customHeight="1" x14ac:dyDescent="0.35">
      <c r="A24" s="74" t="s">
        <v>1774</v>
      </c>
      <c r="B24" s="62"/>
      <c r="C24" s="62"/>
      <c r="D24" s="62"/>
      <c r="E24" s="62"/>
    </row>
    <row r="25" spans="1:5" ht="15" customHeight="1" x14ac:dyDescent="0.35">
      <c r="B25" s="75" t="s">
        <v>1739</v>
      </c>
      <c r="C25" s="75" t="s">
        <v>1740</v>
      </c>
      <c r="D25" s="75" t="s">
        <v>1741</v>
      </c>
    </row>
    <row r="26" spans="1:5" ht="15" customHeight="1" x14ac:dyDescent="0.35">
      <c r="B26" s="76" t="s">
        <v>1775</v>
      </c>
      <c r="C26" s="76" t="s">
        <v>1776</v>
      </c>
      <c r="D26" s="76" t="s">
        <v>1777</v>
      </c>
    </row>
    <row r="27" spans="1:5" ht="15" customHeight="1" x14ac:dyDescent="0.35">
      <c r="B27" s="76" t="s">
        <v>1778</v>
      </c>
      <c r="C27" s="76" t="s">
        <v>1779</v>
      </c>
      <c r="D27" s="76" t="s">
        <v>1780</v>
      </c>
    </row>
    <row r="28" spans="1:5" ht="23.9" customHeight="1" x14ac:dyDescent="0.35">
      <c r="A28" s="76" t="s">
        <v>1781</v>
      </c>
    </row>
    <row r="29" spans="1:5" ht="15" customHeight="1" x14ac:dyDescent="0.35">
      <c r="A29" s="43" t="s">
        <v>1782</v>
      </c>
    </row>
    <row r="30" spans="1:5" ht="15" customHeight="1" x14ac:dyDescent="0.35">
      <c r="A30" s="74" t="s">
        <v>1783</v>
      </c>
      <c r="B30" s="62"/>
      <c r="C30" s="62"/>
      <c r="D30" s="62"/>
      <c r="E30" s="62"/>
    </row>
    <row r="31" spans="1:5" ht="15" customHeight="1" x14ac:dyDescent="0.35">
      <c r="B31" s="75" t="s">
        <v>1739</v>
      </c>
      <c r="C31" s="75" t="s">
        <v>1740</v>
      </c>
      <c r="D31" s="75" t="s">
        <v>1741</v>
      </c>
    </row>
    <row r="32" spans="1:5" ht="23.9" customHeight="1" x14ac:dyDescent="0.35">
      <c r="B32" s="76" t="s">
        <v>1784</v>
      </c>
      <c r="C32" s="76" t="s">
        <v>1785</v>
      </c>
      <c r="D32" s="76" t="s">
        <v>1786</v>
      </c>
    </row>
    <row r="33" spans="1:5" ht="23.9" customHeight="1" x14ac:dyDescent="0.35">
      <c r="B33" s="76" t="s">
        <v>1787</v>
      </c>
      <c r="C33" s="76" t="s">
        <v>1788</v>
      </c>
      <c r="D33" s="76" t="s">
        <v>1789</v>
      </c>
    </row>
    <row r="34" spans="1:5" ht="15" customHeight="1" x14ac:dyDescent="0.35">
      <c r="A34" s="43" t="s">
        <v>1790</v>
      </c>
    </row>
    <row r="35" spans="1:5" ht="15" customHeight="1" x14ac:dyDescent="0.35">
      <c r="A35" s="43" t="s">
        <v>1791</v>
      </c>
    </row>
    <row r="36" spans="1:5" ht="15" customHeight="1" x14ac:dyDescent="0.35">
      <c r="A36" s="74" t="s">
        <v>1792</v>
      </c>
      <c r="B36" s="62"/>
      <c r="C36" s="62"/>
      <c r="D36" s="62"/>
      <c r="E36" s="62"/>
    </row>
    <row r="37" spans="1:5" ht="15" customHeight="1" x14ac:dyDescent="0.35">
      <c r="B37" s="75" t="s">
        <v>1739</v>
      </c>
      <c r="C37" s="75" t="s">
        <v>1740</v>
      </c>
      <c r="D37" s="75" t="s">
        <v>1741</v>
      </c>
    </row>
    <row r="38" spans="1:5" ht="23.9" customHeight="1" x14ac:dyDescent="0.35">
      <c r="B38" s="76" t="s">
        <v>1793</v>
      </c>
      <c r="C38" s="76" t="s">
        <v>1794</v>
      </c>
      <c r="D38" s="76" t="s">
        <v>1795</v>
      </c>
    </row>
    <row r="39" spans="1:5" ht="35" customHeight="1" x14ac:dyDescent="0.35">
      <c r="B39" s="76" t="s">
        <v>1796</v>
      </c>
      <c r="C39" s="76" t="s">
        <v>1797</v>
      </c>
      <c r="D39" s="76" t="s">
        <v>1798</v>
      </c>
    </row>
    <row r="40" spans="1:5" ht="23.9" customHeight="1" x14ac:dyDescent="0.35">
      <c r="B40" s="76" t="s">
        <v>1799</v>
      </c>
      <c r="C40" s="76" t="s">
        <v>1800</v>
      </c>
      <c r="D40" s="76" t="s">
        <v>1801</v>
      </c>
    </row>
    <row r="41" spans="1:5" ht="15" customHeight="1" x14ac:dyDescent="0.35">
      <c r="A41" s="43" t="s">
        <v>1802</v>
      </c>
    </row>
    <row r="42" spans="1:5" ht="15" customHeight="1" x14ac:dyDescent="0.35">
      <c r="A42" s="43" t="s">
        <v>1803</v>
      </c>
    </row>
    <row r="43" spans="1:5" ht="15" customHeight="1" x14ac:dyDescent="0.35">
      <c r="A43" s="74" t="s">
        <v>1804</v>
      </c>
      <c r="B43" s="62"/>
      <c r="C43" s="62"/>
      <c r="D43" s="62"/>
      <c r="E43" s="62"/>
    </row>
    <row r="44" spans="1:5" ht="15" customHeight="1" x14ac:dyDescent="0.35">
      <c r="B44" s="75" t="s">
        <v>1739</v>
      </c>
      <c r="C44" s="75" t="s">
        <v>1740</v>
      </c>
      <c r="D44" s="75" t="s">
        <v>1741</v>
      </c>
    </row>
    <row r="45" spans="1:5" ht="15" customHeight="1" x14ac:dyDescent="0.35">
      <c r="B45" s="76" t="s">
        <v>1805</v>
      </c>
      <c r="C45" s="76" t="s">
        <v>1806</v>
      </c>
      <c r="D45" s="76" t="s">
        <v>1807</v>
      </c>
    </row>
    <row r="46" spans="1:5" ht="23.9" customHeight="1" x14ac:dyDescent="0.35">
      <c r="B46" s="76" t="s">
        <v>1808</v>
      </c>
      <c r="C46" s="76" t="s">
        <v>1809</v>
      </c>
      <c r="D46" s="76" t="s">
        <v>1810</v>
      </c>
    </row>
    <row r="47" spans="1:5" ht="15" customHeight="1" x14ac:dyDescent="0.35">
      <c r="B47" s="76" t="s">
        <v>1811</v>
      </c>
      <c r="C47" s="76" t="s">
        <v>1812</v>
      </c>
      <c r="D47" s="76" t="s">
        <v>1813</v>
      </c>
    </row>
    <row r="48" spans="1:5" ht="15" customHeight="1" x14ac:dyDescent="0.35">
      <c r="B48" s="76" t="s">
        <v>1814</v>
      </c>
      <c r="C48" s="76" t="s">
        <v>1815</v>
      </c>
      <c r="D48" s="76" t="s">
        <v>1816</v>
      </c>
    </row>
    <row r="49" spans="1:5" ht="15" customHeight="1" x14ac:dyDescent="0.35">
      <c r="A49" s="43" t="s">
        <v>1817</v>
      </c>
    </row>
    <row r="50" spans="1:5" ht="15" customHeight="1" x14ac:dyDescent="0.35">
      <c r="A50" s="43" t="s">
        <v>1818</v>
      </c>
    </row>
    <row r="51" spans="1:5" ht="15" customHeight="1" x14ac:dyDescent="0.35">
      <c r="A51" s="74" t="s">
        <v>1819</v>
      </c>
      <c r="B51" s="62"/>
      <c r="C51" s="62"/>
      <c r="D51" s="62"/>
      <c r="E51" s="62"/>
    </row>
    <row r="52" spans="1:5" ht="15" customHeight="1" x14ac:dyDescent="0.35">
      <c r="B52" s="75" t="s">
        <v>1739</v>
      </c>
      <c r="C52" s="75" t="s">
        <v>1740</v>
      </c>
      <c r="D52" s="75" t="s">
        <v>1741</v>
      </c>
    </row>
    <row r="53" spans="1:5" ht="15" customHeight="1" x14ac:dyDescent="0.35">
      <c r="B53" s="76" t="s">
        <v>1820</v>
      </c>
      <c r="C53" s="76" t="s">
        <v>1821</v>
      </c>
      <c r="D53" s="76" t="s">
        <v>1822</v>
      </c>
    </row>
    <row r="54" spans="1:5" ht="15" customHeight="1" x14ac:dyDescent="0.35">
      <c r="B54" s="76" t="s">
        <v>1823</v>
      </c>
      <c r="C54" s="76" t="s">
        <v>1824</v>
      </c>
      <c r="D54" s="76" t="s">
        <v>1825</v>
      </c>
    </row>
    <row r="55" spans="1:5" ht="23.9" customHeight="1" x14ac:dyDescent="0.35">
      <c r="A55" s="76" t="s">
        <v>1826</v>
      </c>
    </row>
    <row r="56" spans="1:5" ht="15" customHeight="1" x14ac:dyDescent="0.35">
      <c r="A56" s="43" t="s">
        <v>1827</v>
      </c>
    </row>
    <row r="57" spans="1:5" ht="15" customHeight="1" x14ac:dyDescent="0.35">
      <c r="A57" s="74" t="s">
        <v>1828</v>
      </c>
      <c r="B57" s="62"/>
      <c r="C57" s="62"/>
      <c r="D57" s="62"/>
      <c r="E57" s="62"/>
    </row>
    <row r="58" spans="1:5" ht="15" customHeight="1" x14ac:dyDescent="0.35">
      <c r="B58" s="75" t="s">
        <v>1739</v>
      </c>
      <c r="C58" s="75" t="s">
        <v>1740</v>
      </c>
      <c r="D58" s="75" t="s">
        <v>1741</v>
      </c>
    </row>
    <row r="59" spans="1:5" ht="23.9" customHeight="1" x14ac:dyDescent="0.35">
      <c r="B59" s="76" t="s">
        <v>1829</v>
      </c>
      <c r="C59" s="76" t="s">
        <v>1830</v>
      </c>
      <c r="D59" s="76" t="s">
        <v>1831</v>
      </c>
    </row>
    <row r="60" spans="1:5" ht="23.9" customHeight="1" x14ac:dyDescent="0.35">
      <c r="B60" s="76" t="s">
        <v>1832</v>
      </c>
      <c r="C60" s="76" t="s">
        <v>1833</v>
      </c>
      <c r="D60" s="76" t="s">
        <v>1834</v>
      </c>
    </row>
    <row r="61" spans="1:5" ht="15" customHeight="1" x14ac:dyDescent="0.35">
      <c r="A61" s="43" t="s">
        <v>1835</v>
      </c>
    </row>
    <row r="62" spans="1:5" ht="15" customHeight="1" x14ac:dyDescent="0.35">
      <c r="A62" s="43" t="s">
        <v>1836</v>
      </c>
    </row>
    <row r="63" spans="1:5" ht="15" customHeight="1" x14ac:dyDescent="0.35">
      <c r="A63" s="74" t="s">
        <v>1837</v>
      </c>
      <c r="B63" s="62"/>
      <c r="C63" s="62"/>
      <c r="D63" s="62"/>
      <c r="E63" s="62"/>
    </row>
    <row r="64" spans="1:5" ht="15" customHeight="1" x14ac:dyDescent="0.35">
      <c r="B64" s="75" t="s">
        <v>1739</v>
      </c>
      <c r="C64" s="75" t="s">
        <v>1740</v>
      </c>
      <c r="D64" s="75" t="s">
        <v>1741</v>
      </c>
    </row>
    <row r="65" spans="1:5" ht="23.9" customHeight="1" x14ac:dyDescent="0.35">
      <c r="B65" s="76" t="s">
        <v>1838</v>
      </c>
      <c r="C65" s="76" t="s">
        <v>1839</v>
      </c>
      <c r="D65" s="76" t="s">
        <v>1840</v>
      </c>
    </row>
    <row r="66" spans="1:5" ht="15" customHeight="1" x14ac:dyDescent="0.35">
      <c r="B66" s="76" t="s">
        <v>1841</v>
      </c>
      <c r="C66" s="76" t="s">
        <v>1842</v>
      </c>
      <c r="D66" s="76" t="s">
        <v>1843</v>
      </c>
    </row>
    <row r="67" spans="1:5" ht="15" customHeight="1" x14ac:dyDescent="0.35">
      <c r="A67" s="43" t="s">
        <v>1844</v>
      </c>
    </row>
    <row r="68" spans="1:5" ht="15" customHeight="1" x14ac:dyDescent="0.35">
      <c r="A68" s="43" t="s">
        <v>1845</v>
      </c>
    </row>
    <row r="69" spans="1:5" ht="15" customHeight="1" x14ac:dyDescent="0.35">
      <c r="A69" s="74" t="s">
        <v>1846</v>
      </c>
      <c r="B69" s="62"/>
      <c r="C69" s="62"/>
      <c r="D69" s="62"/>
      <c r="E69" s="62"/>
    </row>
    <row r="70" spans="1:5" ht="15" customHeight="1" x14ac:dyDescent="0.35">
      <c r="B70" s="75" t="s">
        <v>1739</v>
      </c>
      <c r="C70" s="75" t="s">
        <v>1740</v>
      </c>
      <c r="D70" s="75" t="s">
        <v>1741</v>
      </c>
    </row>
    <row r="71" spans="1:5" ht="15" customHeight="1" x14ac:dyDescent="0.35">
      <c r="B71" s="76" t="s">
        <v>1847</v>
      </c>
      <c r="C71" s="76" t="s">
        <v>1848</v>
      </c>
      <c r="D71" s="76" t="s">
        <v>1849</v>
      </c>
    </row>
    <row r="72" spans="1:5" ht="15" customHeight="1" x14ac:dyDescent="0.35">
      <c r="B72" s="76" t="s">
        <v>1850</v>
      </c>
      <c r="C72" s="76" t="s">
        <v>1851</v>
      </c>
      <c r="D72" s="76" t="s">
        <v>1852</v>
      </c>
    </row>
    <row r="73" spans="1:5" ht="15" customHeight="1" x14ac:dyDescent="0.35">
      <c r="A73" s="43" t="s">
        <v>1853</v>
      </c>
    </row>
    <row r="74" spans="1:5" ht="15" customHeight="1" x14ac:dyDescent="0.35">
      <c r="A74" s="43" t="s">
        <v>1854</v>
      </c>
    </row>
    <row r="75" spans="1:5" ht="15" customHeight="1" x14ac:dyDescent="0.35">
      <c r="A75" s="74" t="s">
        <v>1855</v>
      </c>
      <c r="B75" s="62"/>
      <c r="C75" s="62"/>
      <c r="D75" s="62"/>
      <c r="E75" s="62"/>
    </row>
    <row r="76" spans="1:5" ht="15" customHeight="1" x14ac:dyDescent="0.35">
      <c r="B76" s="75" t="s">
        <v>1739</v>
      </c>
      <c r="C76" s="75" t="s">
        <v>1740</v>
      </c>
      <c r="D76" s="75" t="s">
        <v>1741</v>
      </c>
    </row>
    <row r="77" spans="1:5" ht="15" customHeight="1" x14ac:dyDescent="0.35">
      <c r="B77" s="76" t="s">
        <v>1856</v>
      </c>
      <c r="C77" s="76" t="s">
        <v>1857</v>
      </c>
      <c r="D77" s="76" t="s">
        <v>1858</v>
      </c>
    </row>
    <row r="78" spans="1:5" ht="23.9" customHeight="1" x14ac:dyDescent="0.35">
      <c r="B78" s="76" t="s">
        <v>1859</v>
      </c>
      <c r="C78" s="76" t="s">
        <v>1860</v>
      </c>
      <c r="D78" s="76" t="s">
        <v>1861</v>
      </c>
    </row>
    <row r="79" spans="1:5" ht="15" customHeight="1" x14ac:dyDescent="0.35">
      <c r="A79" s="43" t="s">
        <v>1862</v>
      </c>
    </row>
    <row r="80" spans="1:5" ht="15" customHeight="1" x14ac:dyDescent="0.35">
      <c r="A80" s="43" t="s">
        <v>1863</v>
      </c>
    </row>
    <row r="81" spans="1:5" ht="15" customHeight="1" x14ac:dyDescent="0.35">
      <c r="A81" s="74" t="s">
        <v>1864</v>
      </c>
      <c r="B81" s="62"/>
      <c r="C81" s="62"/>
      <c r="D81" s="62"/>
      <c r="E81" s="62"/>
    </row>
    <row r="82" spans="1:5" ht="15" customHeight="1" x14ac:dyDescent="0.35">
      <c r="B82" s="75" t="s">
        <v>1739</v>
      </c>
      <c r="C82" s="75" t="s">
        <v>1740</v>
      </c>
      <c r="D82" s="75" t="s">
        <v>1741</v>
      </c>
    </row>
    <row r="83" spans="1:5" ht="15" customHeight="1" x14ac:dyDescent="0.35">
      <c r="B83" s="76" t="s">
        <v>1865</v>
      </c>
      <c r="C83" s="76" t="s">
        <v>1866</v>
      </c>
      <c r="D83" s="76" t="s">
        <v>1867</v>
      </c>
    </row>
    <row r="84" spans="1:5" ht="15" customHeight="1" x14ac:dyDescent="0.35">
      <c r="B84" s="76" t="s">
        <v>1868</v>
      </c>
      <c r="C84" s="76" t="s">
        <v>1869</v>
      </c>
      <c r="D84" s="76" t="s">
        <v>1870</v>
      </c>
    </row>
    <row r="85" spans="1:5" ht="15" customHeight="1" x14ac:dyDescent="0.35">
      <c r="A85" s="43" t="s">
        <v>1871</v>
      </c>
    </row>
    <row r="86" spans="1:5" ht="15" customHeight="1" x14ac:dyDescent="0.35">
      <c r="A86" s="43" t="s">
        <v>1872</v>
      </c>
    </row>
    <row r="87" spans="1:5" ht="15" customHeight="1" x14ac:dyDescent="0.35">
      <c r="A87" s="74" t="s">
        <v>1873</v>
      </c>
      <c r="B87" s="62"/>
      <c r="C87" s="62"/>
      <c r="D87" s="62"/>
      <c r="E87" s="62"/>
    </row>
    <row r="88" spans="1:5" ht="15" customHeight="1" x14ac:dyDescent="0.35">
      <c r="A88" s="43" t="s">
        <v>1874</v>
      </c>
    </row>
    <row r="89" spans="1:5" ht="15" customHeight="1" x14ac:dyDescent="0.35">
      <c r="A89" s="43" t="s">
        <v>1875</v>
      </c>
    </row>
    <row r="90" spans="1:5" ht="15" customHeight="1" x14ac:dyDescent="0.35">
      <c r="A90" s="74" t="s">
        <v>1876</v>
      </c>
      <c r="B90" s="62"/>
      <c r="C90" s="62"/>
      <c r="D90" s="62"/>
      <c r="E90" s="62"/>
    </row>
    <row r="91" spans="1:5" ht="15" customHeight="1" x14ac:dyDescent="0.35">
      <c r="A91" s="43" t="s">
        <v>1877</v>
      </c>
    </row>
    <row r="92" spans="1:5" ht="15" customHeight="1" x14ac:dyDescent="0.35">
      <c r="A92" s="74" t="s">
        <v>1878</v>
      </c>
      <c r="B92" s="62"/>
      <c r="C92" s="62"/>
      <c r="D92" s="62"/>
      <c r="E92" s="62"/>
    </row>
    <row r="93" spans="1:5" ht="15" customHeight="1" x14ac:dyDescent="0.35">
      <c r="B93" s="75" t="s">
        <v>1739</v>
      </c>
      <c r="C93" s="75" t="s">
        <v>1740</v>
      </c>
      <c r="D93" s="75" t="s">
        <v>1741</v>
      </c>
    </row>
    <row r="94" spans="1:5" ht="23.9" customHeight="1" x14ac:dyDescent="0.35">
      <c r="B94" s="76" t="s">
        <v>1879</v>
      </c>
      <c r="C94" s="76" t="s">
        <v>1880</v>
      </c>
      <c r="D94" s="76" t="s">
        <v>1881</v>
      </c>
    </row>
    <row r="95" spans="1:5" ht="23.9" customHeight="1" x14ac:dyDescent="0.35">
      <c r="B95" s="76" t="s">
        <v>1882</v>
      </c>
      <c r="C95" s="76" t="s">
        <v>1883</v>
      </c>
      <c r="D95" s="76" t="s">
        <v>1884</v>
      </c>
    </row>
    <row r="96" spans="1:5" ht="15" customHeight="1" x14ac:dyDescent="0.35">
      <c r="A96" s="43" t="s">
        <v>1885</v>
      </c>
    </row>
    <row r="97" spans="1:5" ht="23.9" customHeight="1" x14ac:dyDescent="0.35">
      <c r="A97" s="76" t="s">
        <v>1886</v>
      </c>
    </row>
    <row r="98" spans="1:5" ht="15" customHeight="1" x14ac:dyDescent="0.35">
      <c r="A98" s="74" t="s">
        <v>1887</v>
      </c>
      <c r="B98" s="62"/>
      <c r="C98" s="62"/>
      <c r="D98" s="62"/>
      <c r="E98" s="62"/>
    </row>
    <row r="99" spans="1:5" ht="15" customHeight="1" x14ac:dyDescent="0.35">
      <c r="B99" s="75" t="s">
        <v>1739</v>
      </c>
      <c r="C99" s="75" t="s">
        <v>1740</v>
      </c>
      <c r="D99" s="75" t="s">
        <v>1741</v>
      </c>
    </row>
    <row r="100" spans="1:5" ht="23.9" customHeight="1" x14ac:dyDescent="0.35">
      <c r="B100" s="76" t="s">
        <v>1888</v>
      </c>
      <c r="C100" s="76" t="s">
        <v>1889</v>
      </c>
      <c r="D100" s="76" t="s">
        <v>1890</v>
      </c>
    </row>
    <row r="101" spans="1:5" ht="15" customHeight="1" x14ac:dyDescent="0.35">
      <c r="B101" s="76" t="s">
        <v>1891</v>
      </c>
      <c r="C101" s="76" t="s">
        <v>1892</v>
      </c>
      <c r="D101" s="76" t="s">
        <v>1893</v>
      </c>
    </row>
    <row r="102" spans="1:5" ht="15" customHeight="1" x14ac:dyDescent="0.35">
      <c r="B102" s="76" t="s">
        <v>1894</v>
      </c>
      <c r="C102" s="76" t="s">
        <v>1895</v>
      </c>
      <c r="D102" s="76" t="s">
        <v>1896</v>
      </c>
    </row>
    <row r="103" spans="1:5" ht="15" customHeight="1" x14ac:dyDescent="0.35">
      <c r="A103" s="43" t="s">
        <v>1897</v>
      </c>
    </row>
    <row r="104" spans="1:5" ht="15" customHeight="1" x14ac:dyDescent="0.35">
      <c r="A104" s="76" t="s">
        <v>1898</v>
      </c>
    </row>
    <row r="105" spans="1:5" ht="15" customHeight="1" x14ac:dyDescent="0.35">
      <c r="A105" s="74" t="s">
        <v>1899</v>
      </c>
      <c r="B105" s="62"/>
      <c r="C105" s="62"/>
      <c r="D105" s="62"/>
      <c r="E105" s="62"/>
    </row>
    <row r="106" spans="1:5" ht="15" customHeight="1" x14ac:dyDescent="0.35">
      <c r="B106" s="75" t="s">
        <v>1739</v>
      </c>
      <c r="C106" s="75" t="s">
        <v>1740</v>
      </c>
      <c r="D106" s="75" t="s">
        <v>1741</v>
      </c>
    </row>
    <row r="107" spans="1:5" ht="15" customHeight="1" x14ac:dyDescent="0.35">
      <c r="B107" s="76" t="s">
        <v>1900</v>
      </c>
      <c r="C107" s="76" t="s">
        <v>1901</v>
      </c>
      <c r="D107" s="76" t="s">
        <v>1902</v>
      </c>
    </row>
    <row r="108" spans="1:5" ht="15" customHeight="1" x14ac:dyDescent="0.35">
      <c r="B108" s="76" t="s">
        <v>1903</v>
      </c>
      <c r="C108" s="76" t="s">
        <v>1904</v>
      </c>
      <c r="D108" s="76" t="s">
        <v>1902</v>
      </c>
    </row>
    <row r="109" spans="1:5" ht="15" customHeight="1" x14ac:dyDescent="0.35">
      <c r="B109" s="76" t="s">
        <v>1905</v>
      </c>
      <c r="C109" s="76" t="s">
        <v>1906</v>
      </c>
      <c r="D109" s="76" t="s">
        <v>1907</v>
      </c>
    </row>
    <row r="110" spans="1:5" ht="23.9" customHeight="1" x14ac:dyDescent="0.35">
      <c r="B110" s="76" t="s">
        <v>1908</v>
      </c>
      <c r="C110" s="76" t="s">
        <v>1909</v>
      </c>
      <c r="D110" s="76" t="s">
        <v>1910</v>
      </c>
    </row>
    <row r="111" spans="1:5" ht="15" customHeight="1" x14ac:dyDescent="0.35">
      <c r="A111" s="43" t="s">
        <v>1911</v>
      </c>
    </row>
    <row r="112" spans="1:5" ht="15" customHeight="1" x14ac:dyDescent="0.35">
      <c r="A112" s="76" t="s">
        <v>1912</v>
      </c>
    </row>
    <row r="113" spans="1:5" ht="15" customHeight="1" x14ac:dyDescent="0.35">
      <c r="A113" s="74" t="s">
        <v>1913</v>
      </c>
      <c r="B113" s="62"/>
      <c r="C113" s="62"/>
      <c r="D113" s="62"/>
      <c r="E113" s="62"/>
    </row>
    <row r="114" spans="1:5" ht="15" customHeight="1" x14ac:dyDescent="0.35">
      <c r="B114" s="75" t="s">
        <v>1739</v>
      </c>
      <c r="C114" s="75" t="s">
        <v>1740</v>
      </c>
      <c r="D114" s="75" t="s">
        <v>1741</v>
      </c>
    </row>
    <row r="115" spans="1:5" ht="15" customHeight="1" x14ac:dyDescent="0.35">
      <c r="B115" s="76" t="s">
        <v>1914</v>
      </c>
      <c r="C115" s="76" t="s">
        <v>1915</v>
      </c>
      <c r="D115" s="76" t="s">
        <v>1916</v>
      </c>
    </row>
    <row r="116" spans="1:5" ht="35" customHeight="1" x14ac:dyDescent="0.35">
      <c r="B116" s="76" t="s">
        <v>1917</v>
      </c>
      <c r="C116" s="76" t="s">
        <v>1918</v>
      </c>
      <c r="D116" s="76" t="s">
        <v>1919</v>
      </c>
    </row>
    <row r="117" spans="1:5" ht="15" customHeight="1" x14ac:dyDescent="0.35">
      <c r="A117" s="43" t="s">
        <v>1920</v>
      </c>
    </row>
    <row r="118" spans="1:5" ht="23.9" customHeight="1" x14ac:dyDescent="0.35">
      <c r="A118" s="76" t="s">
        <v>1921</v>
      </c>
    </row>
    <row r="119" spans="1:5" ht="15" customHeight="1" x14ac:dyDescent="0.35">
      <c r="A119" s="74" t="s">
        <v>1922</v>
      </c>
      <c r="B119" s="62"/>
      <c r="C119" s="62"/>
      <c r="D119" s="62"/>
      <c r="E119" s="62"/>
    </row>
    <row r="120" spans="1:5" ht="15" customHeight="1" x14ac:dyDescent="0.35">
      <c r="B120" s="77" t="s">
        <v>1923</v>
      </c>
      <c r="C120" s="75" t="s">
        <v>1739</v>
      </c>
      <c r="D120" s="77" t="s">
        <v>1924</v>
      </c>
      <c r="E120" s="75" t="s">
        <v>1741</v>
      </c>
    </row>
    <row r="121" spans="1:5" ht="23.9" customHeight="1" x14ac:dyDescent="0.35">
      <c r="B121" s="76" t="s">
        <v>396</v>
      </c>
      <c r="C121" s="76" t="s">
        <v>1925</v>
      </c>
      <c r="D121" s="76" t="s">
        <v>1926</v>
      </c>
      <c r="E121" s="76" t="s">
        <v>1927</v>
      </c>
    </row>
    <row r="122" spans="1:5" ht="15" customHeight="1" x14ac:dyDescent="0.35">
      <c r="B122" s="76" t="s">
        <v>405</v>
      </c>
      <c r="C122" s="76" t="s">
        <v>1928</v>
      </c>
      <c r="D122" s="76" t="s">
        <v>1929</v>
      </c>
      <c r="E122" s="76" t="s">
        <v>1930</v>
      </c>
    </row>
    <row r="123" spans="1:5" ht="15" customHeight="1" x14ac:dyDescent="0.35">
      <c r="B123" s="76" t="s">
        <v>1931</v>
      </c>
      <c r="C123" s="76" t="s">
        <v>1932</v>
      </c>
      <c r="D123" s="76" t="s">
        <v>1933</v>
      </c>
      <c r="E123" s="76" t="s">
        <v>1934</v>
      </c>
    </row>
    <row r="124" spans="1:5" ht="35" customHeight="1" x14ac:dyDescent="0.35">
      <c r="B124" s="76" t="s">
        <v>1935</v>
      </c>
      <c r="C124" s="76" t="s">
        <v>1936</v>
      </c>
      <c r="D124" s="76" t="s">
        <v>1937</v>
      </c>
      <c r="E124" s="76" t="s">
        <v>1938</v>
      </c>
    </row>
    <row r="125" spans="1:5" ht="15" customHeight="1" x14ac:dyDescent="0.35">
      <c r="B125" s="76" t="s">
        <v>1939</v>
      </c>
      <c r="C125" s="76" t="s">
        <v>1940</v>
      </c>
      <c r="D125" s="76" t="s">
        <v>1941</v>
      </c>
      <c r="E125" s="76" t="s">
        <v>1942</v>
      </c>
    </row>
    <row r="126" spans="1:5" ht="15" customHeight="1" x14ac:dyDescent="0.35">
      <c r="B126" s="76" t="s">
        <v>518</v>
      </c>
      <c r="C126" s="76" t="s">
        <v>1943</v>
      </c>
      <c r="D126" s="76" t="s">
        <v>1944</v>
      </c>
      <c r="E126" s="76" t="s">
        <v>1945</v>
      </c>
    </row>
    <row r="127" spans="1:5" ht="23.9" customHeight="1" x14ac:dyDescent="0.35">
      <c r="B127" s="76" t="s">
        <v>1946</v>
      </c>
      <c r="C127" s="76" t="s">
        <v>1947</v>
      </c>
      <c r="D127" s="76" t="s">
        <v>1948</v>
      </c>
      <c r="E127" s="76" t="s">
        <v>1949</v>
      </c>
    </row>
    <row r="128" spans="1:5" ht="15" customHeight="1" x14ac:dyDescent="0.35">
      <c r="B128" s="76" t="s">
        <v>1950</v>
      </c>
      <c r="C128" s="76" t="s">
        <v>1951</v>
      </c>
      <c r="D128" s="76" t="s">
        <v>1952</v>
      </c>
      <c r="E128" s="76" t="s">
        <v>1953</v>
      </c>
    </row>
    <row r="129" spans="1:5" ht="15" customHeight="1" x14ac:dyDescent="0.35">
      <c r="B129" s="76" t="s">
        <v>1954</v>
      </c>
      <c r="C129" s="76" t="s">
        <v>1955</v>
      </c>
      <c r="D129" s="76" t="s">
        <v>1956</v>
      </c>
      <c r="E129" s="76" t="s">
        <v>1957</v>
      </c>
    </row>
    <row r="130" spans="1:5" ht="15" customHeight="1" x14ac:dyDescent="0.35">
      <c r="A130" s="43" t="s">
        <v>1958</v>
      </c>
    </row>
    <row r="131" spans="1:5" ht="15" customHeight="1" x14ac:dyDescent="0.35">
      <c r="A131" s="74" t="s">
        <v>1959</v>
      </c>
      <c r="B131" s="62"/>
      <c r="C131" s="62"/>
      <c r="D131" s="62"/>
      <c r="E131" s="62"/>
    </row>
    <row r="132" spans="1:5" ht="15" customHeight="1" x14ac:dyDescent="0.35">
      <c r="B132" s="77" t="s">
        <v>1923</v>
      </c>
      <c r="C132" s="77" t="s">
        <v>1960</v>
      </c>
      <c r="D132" s="77" t="s">
        <v>1961</v>
      </c>
      <c r="E132" s="77" t="s">
        <v>1962</v>
      </c>
    </row>
    <row r="133" spans="1:5" ht="23.9" customHeight="1" x14ac:dyDescent="0.35">
      <c r="B133" s="76" t="s">
        <v>456</v>
      </c>
      <c r="C133" s="76" t="s">
        <v>1963</v>
      </c>
      <c r="D133" s="76" t="s">
        <v>1964</v>
      </c>
      <c r="E133" s="76" t="s">
        <v>1965</v>
      </c>
    </row>
    <row r="134" spans="1:5" ht="15" customHeight="1" x14ac:dyDescent="0.35">
      <c r="B134" s="76" t="s">
        <v>501</v>
      </c>
      <c r="C134" s="76" t="s">
        <v>1966</v>
      </c>
      <c r="D134" s="76" t="s">
        <v>1967</v>
      </c>
      <c r="E134" s="76" t="s">
        <v>351</v>
      </c>
    </row>
    <row r="135" spans="1:5" ht="23.9" customHeight="1" x14ac:dyDescent="0.35">
      <c r="B135" s="76" t="s">
        <v>495</v>
      </c>
      <c r="C135" s="76" t="s">
        <v>1968</v>
      </c>
      <c r="D135" s="76" t="s">
        <v>1969</v>
      </c>
      <c r="E135" s="76" t="s">
        <v>1970</v>
      </c>
    </row>
    <row r="136" spans="1:5" ht="23.9" customHeight="1" x14ac:dyDescent="0.35">
      <c r="B136" s="76" t="s">
        <v>444</v>
      </c>
      <c r="C136" s="76" t="s">
        <v>1971</v>
      </c>
      <c r="D136" s="76" t="s">
        <v>1972</v>
      </c>
      <c r="E136" s="76" t="s">
        <v>1973</v>
      </c>
    </row>
    <row r="137" spans="1:5" ht="15" customHeight="1" x14ac:dyDescent="0.35">
      <c r="A137" s="43" t="s">
        <v>1974</v>
      </c>
    </row>
    <row r="138" spans="1:5" ht="15" customHeight="1" x14ac:dyDescent="0.35">
      <c r="A138" s="74" t="s">
        <v>1975</v>
      </c>
      <c r="B138" s="62"/>
      <c r="C138" s="62"/>
      <c r="D138" s="62"/>
      <c r="E138" s="62"/>
    </row>
    <row r="139" spans="1:5" ht="15" customHeight="1" x14ac:dyDescent="0.35">
      <c r="B139" s="75" t="s">
        <v>1739</v>
      </c>
      <c r="C139" s="75" t="s">
        <v>1740</v>
      </c>
      <c r="D139" s="75" t="s">
        <v>1741</v>
      </c>
    </row>
    <row r="140" spans="1:5" ht="15" customHeight="1" x14ac:dyDescent="0.35">
      <c r="B140" s="76" t="s">
        <v>1976</v>
      </c>
      <c r="C140" s="76" t="s">
        <v>1977</v>
      </c>
      <c r="D140" s="76" t="s">
        <v>1978</v>
      </c>
    </row>
    <row r="141" spans="1:5" ht="15" customHeight="1" x14ac:dyDescent="0.35">
      <c r="B141" s="76" t="s">
        <v>1979</v>
      </c>
      <c r="C141" s="76" t="s">
        <v>1980</v>
      </c>
      <c r="D141" s="76" t="s">
        <v>1981</v>
      </c>
    </row>
    <row r="142" spans="1:5" ht="15" customHeight="1" x14ac:dyDescent="0.35">
      <c r="A142" s="43" t="s">
        <v>1982</v>
      </c>
    </row>
    <row r="143" spans="1:5" ht="15" customHeight="1" x14ac:dyDescent="0.35">
      <c r="A143" s="74" t="s">
        <v>1983</v>
      </c>
      <c r="B143" s="62"/>
      <c r="C143" s="62"/>
      <c r="D143" s="62"/>
      <c r="E143" s="62"/>
    </row>
    <row r="144" spans="1:5" ht="15" customHeight="1" x14ac:dyDescent="0.35">
      <c r="B144" s="75" t="s">
        <v>1739</v>
      </c>
      <c r="C144" s="75" t="s">
        <v>1740</v>
      </c>
      <c r="D144" s="75" t="s">
        <v>1741</v>
      </c>
    </row>
    <row r="145" spans="1:5" ht="15" customHeight="1" x14ac:dyDescent="0.35">
      <c r="B145" s="76" t="s">
        <v>1984</v>
      </c>
      <c r="C145" s="76" t="s">
        <v>1985</v>
      </c>
      <c r="D145" s="76" t="s">
        <v>1986</v>
      </c>
    </row>
    <row r="146" spans="1:5" ht="23.9" customHeight="1" x14ac:dyDescent="0.35">
      <c r="B146" s="76" t="s">
        <v>1987</v>
      </c>
      <c r="C146" s="76" t="s">
        <v>1988</v>
      </c>
      <c r="D146" s="76" t="s">
        <v>1989</v>
      </c>
    </row>
    <row r="147" spans="1:5" ht="15" customHeight="1" x14ac:dyDescent="0.35">
      <c r="A147" s="43" t="s">
        <v>1990</v>
      </c>
    </row>
    <row r="148" spans="1:5" ht="15" customHeight="1" x14ac:dyDescent="0.35">
      <c r="A148" s="74" t="s">
        <v>1991</v>
      </c>
      <c r="B148" s="62"/>
      <c r="C148" s="62"/>
      <c r="D148" s="62"/>
      <c r="E148" s="62"/>
    </row>
    <row r="149" spans="1:5" ht="15" customHeight="1" x14ac:dyDescent="0.35">
      <c r="B149" s="75" t="s">
        <v>1739</v>
      </c>
      <c r="C149" s="75" t="s">
        <v>1740</v>
      </c>
      <c r="D149" s="75" t="s">
        <v>1741</v>
      </c>
    </row>
    <row r="150" spans="1:5" ht="15" customHeight="1" x14ac:dyDescent="0.35">
      <c r="B150" s="76" t="s">
        <v>1992</v>
      </c>
      <c r="C150" s="76" t="s">
        <v>1993</v>
      </c>
      <c r="D150" s="76" t="s">
        <v>1994</v>
      </c>
    </row>
    <row r="151" spans="1:5" ht="35" customHeight="1" x14ac:dyDescent="0.35">
      <c r="B151" s="76" t="s">
        <v>1995</v>
      </c>
      <c r="C151" s="76" t="s">
        <v>1993</v>
      </c>
      <c r="D151" s="76" t="s">
        <v>1996</v>
      </c>
    </row>
    <row r="152" spans="1:5" ht="15" customHeight="1" x14ac:dyDescent="0.35">
      <c r="A152" s="43" t="s">
        <v>1997</v>
      </c>
    </row>
    <row r="153" spans="1:5" ht="15" customHeight="1" x14ac:dyDescent="0.35">
      <c r="A153" s="74" t="s">
        <v>1998</v>
      </c>
      <c r="B153" s="62"/>
      <c r="C153" s="62"/>
      <c r="D153" s="62"/>
      <c r="E153" s="62"/>
    </row>
    <row r="154" spans="1:5" ht="15" customHeight="1" x14ac:dyDescent="0.35">
      <c r="A154" s="43" t="s">
        <v>1999</v>
      </c>
    </row>
    <row r="155" spans="1:5" ht="15" customHeight="1" x14ac:dyDescent="0.35">
      <c r="A155" s="43" t="s">
        <v>2000</v>
      </c>
    </row>
    <row r="156" spans="1:5" ht="15" customHeight="1" x14ac:dyDescent="0.35">
      <c r="A156" s="43" t="s">
        <v>2001</v>
      </c>
    </row>
    <row r="157" spans="1:5" ht="15" customHeight="1" x14ac:dyDescent="0.35">
      <c r="A157" s="43" t="s">
        <v>2002</v>
      </c>
    </row>
    <row r="158" spans="1:5" ht="15" customHeight="1" x14ac:dyDescent="0.35">
      <c r="A158" s="74" t="s">
        <v>2003</v>
      </c>
      <c r="B158" s="62"/>
      <c r="C158" s="62"/>
      <c r="D158" s="62"/>
      <c r="E158" s="62"/>
    </row>
    <row r="159" spans="1:5" ht="15" customHeight="1" x14ac:dyDescent="0.35">
      <c r="A159" s="43" t="s">
        <v>2004</v>
      </c>
    </row>
    <row r="160" spans="1:5" ht="15" customHeight="1" x14ac:dyDescent="0.35">
      <c r="A160" s="43" t="s">
        <v>2005</v>
      </c>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B6B6B"/>
    <pageSetUpPr fitToPage="1"/>
  </sheetPr>
  <dimension ref="A1:G73"/>
  <sheetViews>
    <sheetView zoomScaleNormal="100" workbookViewId="0">
      <pane ySplit="1" topLeftCell="A2" activePane="bottomLeft" state="frozen"/>
      <selection pane="bottomLeft"/>
    </sheetView>
  </sheetViews>
  <sheetFormatPr defaultColWidth="8.6328125" defaultRowHeight="14.5" x14ac:dyDescent="0.35"/>
  <cols>
    <col min="1" max="1" width="9" customWidth="1"/>
    <col min="2" max="2" width="28" customWidth="1"/>
    <col min="3" max="3" width="40" customWidth="1"/>
    <col min="4" max="4" width="46" customWidth="1"/>
    <col min="5" max="5" width="10" customWidth="1"/>
    <col min="6" max="6" width="9" customWidth="1"/>
    <col min="7" max="7" width="52" customWidth="1"/>
  </cols>
  <sheetData>
    <row r="1" spans="1:7" ht="34" customHeight="1" x14ac:dyDescent="0.35">
      <c r="A1" s="18" t="s">
        <v>2006</v>
      </c>
      <c r="B1" s="18" t="s">
        <v>2007</v>
      </c>
      <c r="C1" s="18" t="s">
        <v>2008</v>
      </c>
      <c r="D1" s="18" t="s">
        <v>2009</v>
      </c>
      <c r="E1" s="18" t="s">
        <v>795</v>
      </c>
      <c r="F1" s="18" t="s">
        <v>2010</v>
      </c>
      <c r="G1" s="18" t="s">
        <v>2011</v>
      </c>
    </row>
    <row r="2" spans="1:7" ht="48" customHeight="1" x14ac:dyDescent="0.35">
      <c r="A2" s="19" t="s">
        <v>2012</v>
      </c>
      <c r="B2" s="20" t="s">
        <v>2013</v>
      </c>
      <c r="C2" s="20" t="s">
        <v>2014</v>
      </c>
      <c r="D2" s="20" t="s">
        <v>2015</v>
      </c>
      <c r="E2" s="19" t="s">
        <v>2016</v>
      </c>
      <c r="F2" s="19" t="s">
        <v>2017</v>
      </c>
      <c r="G2" s="20" t="s">
        <v>2018</v>
      </c>
    </row>
    <row r="3" spans="1:7" ht="48" customHeight="1" x14ac:dyDescent="0.35">
      <c r="A3" s="27" t="s">
        <v>2019</v>
      </c>
      <c r="B3" s="28" t="s">
        <v>2020</v>
      </c>
      <c r="C3" s="28" t="s">
        <v>2021</v>
      </c>
      <c r="D3" s="28" t="s">
        <v>2022</v>
      </c>
      <c r="E3" s="27" t="s">
        <v>2023</v>
      </c>
      <c r="F3" s="27" t="s">
        <v>2024</v>
      </c>
      <c r="G3" s="28" t="s">
        <v>2025</v>
      </c>
    </row>
    <row r="4" spans="1:7" ht="48" customHeight="1" x14ac:dyDescent="0.35">
      <c r="A4" s="19" t="s">
        <v>2026</v>
      </c>
      <c r="B4" s="20" t="s">
        <v>2027</v>
      </c>
      <c r="C4" s="20" t="s">
        <v>2028</v>
      </c>
      <c r="D4" s="20" t="s">
        <v>2029</v>
      </c>
      <c r="E4" s="19" t="s">
        <v>2030</v>
      </c>
      <c r="F4" s="19" t="s">
        <v>2024</v>
      </c>
      <c r="G4" s="20" t="s">
        <v>2031</v>
      </c>
    </row>
    <row r="5" spans="1:7" ht="48" customHeight="1" x14ac:dyDescent="0.35">
      <c r="A5" s="27" t="s">
        <v>2032</v>
      </c>
      <c r="B5" s="28" t="s">
        <v>2033</v>
      </c>
      <c r="C5" s="28" t="s">
        <v>2034</v>
      </c>
      <c r="D5" s="28" t="s">
        <v>2035</v>
      </c>
      <c r="E5" s="27" t="s">
        <v>2036</v>
      </c>
      <c r="F5" s="27" t="s">
        <v>2024</v>
      </c>
      <c r="G5" s="28" t="s">
        <v>2037</v>
      </c>
    </row>
    <row r="6" spans="1:7" ht="48" customHeight="1" x14ac:dyDescent="0.35">
      <c r="A6" s="19" t="s">
        <v>2038</v>
      </c>
      <c r="B6" s="20" t="s">
        <v>2039</v>
      </c>
      <c r="C6" s="20" t="s">
        <v>2040</v>
      </c>
      <c r="D6" s="20" t="s">
        <v>2041</v>
      </c>
      <c r="E6" s="19" t="s">
        <v>2042</v>
      </c>
      <c r="F6" s="19" t="s">
        <v>2043</v>
      </c>
      <c r="G6" s="20" t="s">
        <v>2044</v>
      </c>
    </row>
    <row r="7" spans="1:7" ht="48" customHeight="1" x14ac:dyDescent="0.35">
      <c r="A7" s="27" t="s">
        <v>2045</v>
      </c>
      <c r="B7" s="28" t="s">
        <v>2046</v>
      </c>
      <c r="C7" s="28" t="s">
        <v>2047</v>
      </c>
      <c r="D7" s="28" t="s">
        <v>2048</v>
      </c>
      <c r="E7" s="27" t="s">
        <v>2049</v>
      </c>
      <c r="F7" s="27" t="s">
        <v>2024</v>
      </c>
      <c r="G7" s="28" t="s">
        <v>2050</v>
      </c>
    </row>
    <row r="8" spans="1:7" ht="48" customHeight="1" x14ac:dyDescent="0.35">
      <c r="A8" s="19" t="s">
        <v>2051</v>
      </c>
      <c r="B8" s="20" t="s">
        <v>2052</v>
      </c>
      <c r="C8" s="20" t="s">
        <v>2053</v>
      </c>
      <c r="D8" s="20" t="s">
        <v>2054</v>
      </c>
      <c r="E8" s="19" t="s">
        <v>143</v>
      </c>
      <c r="F8" s="19" t="s">
        <v>2043</v>
      </c>
      <c r="G8" s="20" t="s">
        <v>2055</v>
      </c>
    </row>
    <row r="9" spans="1:7" ht="48" customHeight="1" x14ac:dyDescent="0.35">
      <c r="A9" s="27" t="s">
        <v>2056</v>
      </c>
      <c r="B9" s="28" t="s">
        <v>2057</v>
      </c>
      <c r="C9" s="28" t="s">
        <v>2058</v>
      </c>
      <c r="D9" s="28" t="s">
        <v>2059</v>
      </c>
      <c r="E9" s="27" t="s">
        <v>2060</v>
      </c>
      <c r="F9" s="27" t="s">
        <v>2024</v>
      </c>
      <c r="G9" s="28" t="s">
        <v>2061</v>
      </c>
    </row>
    <row r="10" spans="1:7" ht="48" customHeight="1" x14ac:dyDescent="0.35">
      <c r="A10" s="19" t="s">
        <v>2062</v>
      </c>
      <c r="B10" s="20" t="s">
        <v>2063</v>
      </c>
      <c r="C10" s="20" t="s">
        <v>2064</v>
      </c>
      <c r="D10" s="20" t="s">
        <v>2065</v>
      </c>
      <c r="E10" s="19" t="s">
        <v>2066</v>
      </c>
      <c r="F10" s="19" t="s">
        <v>2024</v>
      </c>
      <c r="G10" s="20" t="s">
        <v>2067</v>
      </c>
    </row>
    <row r="11" spans="1:7" ht="48" customHeight="1" x14ac:dyDescent="0.35">
      <c r="A11" s="27" t="s">
        <v>2068</v>
      </c>
      <c r="B11" s="28" t="s">
        <v>2069</v>
      </c>
      <c r="C11" s="28" t="s">
        <v>2070</v>
      </c>
      <c r="D11" s="28" t="s">
        <v>2071</v>
      </c>
      <c r="E11" s="27" t="s">
        <v>170</v>
      </c>
      <c r="F11" s="27" t="s">
        <v>2024</v>
      </c>
      <c r="G11" s="28" t="s">
        <v>2072</v>
      </c>
    </row>
    <row r="12" spans="1:7" ht="48" customHeight="1" x14ac:dyDescent="0.35">
      <c r="A12" s="19" t="s">
        <v>2073</v>
      </c>
      <c r="B12" s="20" t="s">
        <v>2074</v>
      </c>
      <c r="C12" s="20" t="s">
        <v>2075</v>
      </c>
      <c r="D12" s="20" t="s">
        <v>2076</v>
      </c>
      <c r="E12" s="19" t="s">
        <v>2077</v>
      </c>
      <c r="F12" s="19" t="s">
        <v>2043</v>
      </c>
      <c r="G12" s="20" t="s">
        <v>2078</v>
      </c>
    </row>
    <row r="13" spans="1:7" ht="48" customHeight="1" x14ac:dyDescent="0.35">
      <c r="A13" s="27" t="s">
        <v>2079</v>
      </c>
      <c r="B13" s="28" t="s">
        <v>2080</v>
      </c>
      <c r="C13" s="28" t="s">
        <v>2081</v>
      </c>
      <c r="D13" s="28" t="s">
        <v>2082</v>
      </c>
      <c r="E13" s="27" t="s">
        <v>2083</v>
      </c>
      <c r="F13" s="27" t="s">
        <v>2024</v>
      </c>
      <c r="G13" s="28" t="s">
        <v>2084</v>
      </c>
    </row>
    <row r="14" spans="1:7" ht="48" customHeight="1" x14ac:dyDescent="0.35">
      <c r="A14" s="19" t="s">
        <v>2085</v>
      </c>
      <c r="B14" s="20" t="s">
        <v>2086</v>
      </c>
      <c r="C14" s="20" t="s">
        <v>2087</v>
      </c>
      <c r="D14" s="20" t="s">
        <v>2088</v>
      </c>
      <c r="E14" s="19" t="s">
        <v>2089</v>
      </c>
      <c r="F14" s="19" t="s">
        <v>2017</v>
      </c>
      <c r="G14" s="20" t="s">
        <v>2090</v>
      </c>
    </row>
    <row r="15" spans="1:7" ht="48" customHeight="1" x14ac:dyDescent="0.35">
      <c r="A15" s="27" t="s">
        <v>2091</v>
      </c>
      <c r="B15" s="28" t="s">
        <v>2092</v>
      </c>
      <c r="C15" s="28" t="s">
        <v>2093</v>
      </c>
      <c r="D15" s="28" t="s">
        <v>2094</v>
      </c>
      <c r="E15" s="27" t="s">
        <v>214</v>
      </c>
      <c r="F15" s="27" t="s">
        <v>2017</v>
      </c>
      <c r="G15" s="28" t="s">
        <v>2095</v>
      </c>
    </row>
    <row r="16" spans="1:7" ht="48" customHeight="1" x14ac:dyDescent="0.35">
      <c r="A16" s="19" t="s">
        <v>2096</v>
      </c>
      <c r="B16" s="20" t="s">
        <v>2097</v>
      </c>
      <c r="C16" s="20" t="s">
        <v>2098</v>
      </c>
      <c r="D16" s="20" t="s">
        <v>2099</v>
      </c>
      <c r="E16" s="19" t="s">
        <v>1010</v>
      </c>
      <c r="F16" s="19" t="s">
        <v>2024</v>
      </c>
      <c r="G16" s="20" t="s">
        <v>2100</v>
      </c>
    </row>
    <row r="17" spans="1:7" ht="48" customHeight="1" x14ac:dyDescent="0.35">
      <c r="A17" s="27" t="s">
        <v>2101</v>
      </c>
      <c r="B17" s="28" t="s">
        <v>2102</v>
      </c>
      <c r="C17" s="28" t="s">
        <v>2103</v>
      </c>
      <c r="D17" s="28" t="s">
        <v>2104</v>
      </c>
      <c r="E17" s="27" t="s">
        <v>2105</v>
      </c>
      <c r="F17" s="27" t="s">
        <v>2017</v>
      </c>
      <c r="G17" s="28" t="s">
        <v>2106</v>
      </c>
    </row>
    <row r="18" spans="1:7" ht="48" customHeight="1" x14ac:dyDescent="0.35">
      <c r="A18" s="19" t="s">
        <v>2107</v>
      </c>
      <c r="B18" s="20" t="s">
        <v>2108</v>
      </c>
      <c r="C18" s="20" t="s">
        <v>2109</v>
      </c>
      <c r="D18" s="20" t="s">
        <v>2110</v>
      </c>
      <c r="E18" s="19" t="s">
        <v>2111</v>
      </c>
      <c r="F18" s="19" t="s">
        <v>2024</v>
      </c>
      <c r="G18" s="20" t="s">
        <v>2112</v>
      </c>
    </row>
    <row r="19" spans="1:7" ht="48" customHeight="1" x14ac:dyDescent="0.35">
      <c r="A19" s="27" t="s">
        <v>2113</v>
      </c>
      <c r="B19" s="28" t="s">
        <v>2114</v>
      </c>
      <c r="C19" s="28" t="s">
        <v>2115</v>
      </c>
      <c r="D19" s="28" t="s">
        <v>2116</v>
      </c>
      <c r="E19" s="27" t="s">
        <v>2117</v>
      </c>
      <c r="F19" s="27" t="s">
        <v>2017</v>
      </c>
      <c r="G19" s="28" t="s">
        <v>2118</v>
      </c>
    </row>
    <row r="20" spans="1:7" ht="48" customHeight="1" x14ac:dyDescent="0.35">
      <c r="A20" s="19" t="s">
        <v>2119</v>
      </c>
      <c r="B20" s="20" t="s">
        <v>2120</v>
      </c>
      <c r="C20" s="20" t="s">
        <v>2121</v>
      </c>
      <c r="D20" s="20" t="s">
        <v>2122</v>
      </c>
      <c r="E20" s="19" t="s">
        <v>248</v>
      </c>
      <c r="F20" s="19" t="s">
        <v>2024</v>
      </c>
      <c r="G20" s="20" t="s">
        <v>2123</v>
      </c>
    </row>
    <row r="21" spans="1:7" ht="48" customHeight="1" x14ac:dyDescent="0.35">
      <c r="A21" s="27" t="s">
        <v>2124</v>
      </c>
      <c r="B21" s="28" t="s">
        <v>2125</v>
      </c>
      <c r="C21" s="28" t="s">
        <v>2126</v>
      </c>
      <c r="D21" s="28" t="s">
        <v>2127</v>
      </c>
      <c r="E21" s="27"/>
      <c r="F21" s="27" t="s">
        <v>2128</v>
      </c>
      <c r="G21" s="28" t="s">
        <v>2129</v>
      </c>
    </row>
    <row r="22" spans="1:7" ht="48" customHeight="1" x14ac:dyDescent="0.35">
      <c r="A22" s="19" t="s">
        <v>2130</v>
      </c>
      <c r="B22" s="20" t="s">
        <v>2131</v>
      </c>
      <c r="C22" s="20" t="s">
        <v>2132</v>
      </c>
      <c r="D22" s="20" t="s">
        <v>2133</v>
      </c>
      <c r="E22" s="19"/>
      <c r="F22" s="19" t="s">
        <v>2128</v>
      </c>
      <c r="G22" s="20" t="s">
        <v>2134</v>
      </c>
    </row>
    <row r="23" spans="1:7" ht="48" customHeight="1" x14ac:dyDescent="0.35">
      <c r="A23" s="27" t="s">
        <v>2135</v>
      </c>
      <c r="B23" s="28" t="s">
        <v>2136</v>
      </c>
      <c r="C23" s="28" t="s">
        <v>2137</v>
      </c>
      <c r="D23" s="28" t="s">
        <v>2138</v>
      </c>
      <c r="E23" s="27" t="s">
        <v>264</v>
      </c>
      <c r="F23" s="27" t="s">
        <v>2017</v>
      </c>
      <c r="G23" s="28" t="s">
        <v>2139</v>
      </c>
    </row>
    <row r="24" spans="1:7" ht="48" customHeight="1" x14ac:dyDescent="0.35">
      <c r="A24" s="19" t="s">
        <v>2140</v>
      </c>
      <c r="B24" s="20" t="s">
        <v>2141</v>
      </c>
      <c r="C24" s="20" t="s">
        <v>2142</v>
      </c>
      <c r="D24" s="20" t="s">
        <v>2143</v>
      </c>
      <c r="E24" s="19" t="s">
        <v>2144</v>
      </c>
      <c r="F24" s="19" t="s">
        <v>2043</v>
      </c>
      <c r="G24" s="20" t="s">
        <v>2145</v>
      </c>
    </row>
    <row r="25" spans="1:7" ht="48" customHeight="1" x14ac:dyDescent="0.35">
      <c r="A25" s="27" t="s">
        <v>2146</v>
      </c>
      <c r="B25" s="28" t="s">
        <v>2147</v>
      </c>
      <c r="C25" s="28" t="s">
        <v>2148</v>
      </c>
      <c r="D25" s="28" t="s">
        <v>2149</v>
      </c>
      <c r="E25" s="27" t="s">
        <v>2150</v>
      </c>
      <c r="F25" s="27" t="s">
        <v>2017</v>
      </c>
      <c r="G25" s="28" t="s">
        <v>2151</v>
      </c>
    </row>
    <row r="26" spans="1:7" ht="48" customHeight="1" x14ac:dyDescent="0.35">
      <c r="A26" s="19" t="s">
        <v>2152</v>
      </c>
      <c r="B26" s="20" t="s">
        <v>2153</v>
      </c>
      <c r="C26" s="20" t="s">
        <v>2154</v>
      </c>
      <c r="D26" s="20"/>
      <c r="E26" s="19"/>
      <c r="F26" s="19" t="s">
        <v>2155</v>
      </c>
      <c r="G26" s="20" t="s">
        <v>2156</v>
      </c>
    </row>
    <row r="27" spans="1:7" ht="48" customHeight="1" x14ac:dyDescent="0.35">
      <c r="A27" s="27" t="s">
        <v>2157</v>
      </c>
      <c r="B27" s="28" t="s">
        <v>2158</v>
      </c>
      <c r="C27" s="28" t="s">
        <v>2159</v>
      </c>
      <c r="D27" s="28"/>
      <c r="E27" s="27"/>
      <c r="F27" s="27" t="s">
        <v>2155</v>
      </c>
      <c r="G27" s="28" t="s">
        <v>2156</v>
      </c>
    </row>
    <row r="28" spans="1:7" ht="48" customHeight="1" x14ac:dyDescent="0.35">
      <c r="A28" s="19" t="s">
        <v>2160</v>
      </c>
      <c r="B28" s="20" t="s">
        <v>2161</v>
      </c>
      <c r="C28" s="20" t="s">
        <v>2162</v>
      </c>
      <c r="D28" s="20"/>
      <c r="E28" s="19"/>
      <c r="F28" s="19" t="s">
        <v>2155</v>
      </c>
      <c r="G28" s="20" t="s">
        <v>2156</v>
      </c>
    </row>
    <row r="29" spans="1:7" ht="48" customHeight="1" x14ac:dyDescent="0.35">
      <c r="A29" s="27" t="s">
        <v>2163</v>
      </c>
      <c r="B29" s="28" t="s">
        <v>2164</v>
      </c>
      <c r="C29" s="28" t="s">
        <v>2165</v>
      </c>
      <c r="D29" s="28"/>
      <c r="E29" s="27"/>
      <c r="F29" s="27" t="s">
        <v>2155</v>
      </c>
      <c r="G29" s="28" t="s">
        <v>2156</v>
      </c>
    </row>
    <row r="30" spans="1:7" ht="48" customHeight="1" x14ac:dyDescent="0.35">
      <c r="A30" s="19" t="s">
        <v>2166</v>
      </c>
      <c r="B30" s="20" t="s">
        <v>2167</v>
      </c>
      <c r="C30" s="20" t="s">
        <v>2168</v>
      </c>
      <c r="D30" s="20"/>
      <c r="E30" s="19"/>
      <c r="F30" s="19" t="s">
        <v>2155</v>
      </c>
      <c r="G30" s="20" t="s">
        <v>2156</v>
      </c>
    </row>
    <row r="31" spans="1:7" ht="48" customHeight="1" x14ac:dyDescent="0.35">
      <c r="A31" s="27" t="s">
        <v>2169</v>
      </c>
      <c r="B31" s="28" t="s">
        <v>2170</v>
      </c>
      <c r="C31" s="28" t="s">
        <v>2171</v>
      </c>
      <c r="D31" s="28"/>
      <c r="E31" s="27"/>
      <c r="F31" s="27" t="s">
        <v>2155</v>
      </c>
      <c r="G31" s="28" t="s">
        <v>2156</v>
      </c>
    </row>
    <row r="32" spans="1:7" ht="48" customHeight="1" x14ac:dyDescent="0.35">
      <c r="A32" s="19" t="s">
        <v>2172</v>
      </c>
      <c r="B32" s="20" t="s">
        <v>2173</v>
      </c>
      <c r="C32" s="20" t="s">
        <v>2174</v>
      </c>
      <c r="D32" s="20"/>
      <c r="E32" s="19"/>
      <c r="F32" s="19" t="s">
        <v>2155</v>
      </c>
      <c r="G32" s="20" t="s">
        <v>2156</v>
      </c>
    </row>
    <row r="33" spans="1:7" ht="48" customHeight="1" x14ac:dyDescent="0.35">
      <c r="A33" s="27" t="s">
        <v>2175</v>
      </c>
      <c r="B33" s="28" t="s">
        <v>2176</v>
      </c>
      <c r="C33" s="28" t="s">
        <v>2177</v>
      </c>
      <c r="D33" s="28"/>
      <c r="E33" s="27"/>
      <c r="F33" s="27" t="s">
        <v>2155</v>
      </c>
      <c r="G33" s="28" t="s">
        <v>2156</v>
      </c>
    </row>
    <row r="34" spans="1:7" ht="48" customHeight="1" x14ac:dyDescent="0.35">
      <c r="A34" s="19" t="s">
        <v>2178</v>
      </c>
      <c r="B34" s="20" t="s">
        <v>2179</v>
      </c>
      <c r="C34" s="20" t="s">
        <v>2180</v>
      </c>
      <c r="D34" s="20"/>
      <c r="E34" s="19"/>
      <c r="F34" s="19" t="s">
        <v>2155</v>
      </c>
      <c r="G34" s="20" t="s">
        <v>2156</v>
      </c>
    </row>
    <row r="35" spans="1:7" ht="48" customHeight="1" x14ac:dyDescent="0.35">
      <c r="A35" s="27" t="s">
        <v>2181</v>
      </c>
      <c r="B35" s="28" t="s">
        <v>2182</v>
      </c>
      <c r="C35" s="28">
        <v>2001</v>
      </c>
      <c r="D35" s="28" t="s">
        <v>2183</v>
      </c>
      <c r="E35" s="27"/>
      <c r="F35" s="27" t="s">
        <v>2155</v>
      </c>
      <c r="G35" s="28" t="s">
        <v>2184</v>
      </c>
    </row>
    <row r="36" spans="1:7" ht="48" customHeight="1" x14ac:dyDescent="0.35">
      <c r="A36" s="19" t="s">
        <v>2185</v>
      </c>
      <c r="B36" s="20" t="s">
        <v>2186</v>
      </c>
      <c r="C36" s="20" t="s">
        <v>2187</v>
      </c>
      <c r="D36" s="20" t="s">
        <v>2188</v>
      </c>
      <c r="E36" s="19"/>
      <c r="F36" s="19" t="s">
        <v>2155</v>
      </c>
      <c r="G36" s="20" t="s">
        <v>2189</v>
      </c>
    </row>
    <row r="37" spans="1:7" ht="48" customHeight="1" x14ac:dyDescent="0.35">
      <c r="A37" s="27" t="s">
        <v>2190</v>
      </c>
      <c r="B37" s="28" t="s">
        <v>2191</v>
      </c>
      <c r="C37" s="28" t="s">
        <v>2192</v>
      </c>
      <c r="D37" s="28" t="s">
        <v>2193</v>
      </c>
      <c r="E37" s="27"/>
      <c r="F37" s="27" t="s">
        <v>2017</v>
      </c>
      <c r="G37" s="28" t="s">
        <v>2194</v>
      </c>
    </row>
    <row r="38" spans="1:7" ht="48" customHeight="1" x14ac:dyDescent="0.35">
      <c r="A38" s="19" t="s">
        <v>2195</v>
      </c>
      <c r="B38" s="20" t="s">
        <v>2196</v>
      </c>
      <c r="C38" s="20">
        <v>2019</v>
      </c>
      <c r="D38" s="20" t="s">
        <v>2197</v>
      </c>
      <c r="E38" s="19" t="s">
        <v>1389</v>
      </c>
      <c r="F38" s="19" t="s">
        <v>2024</v>
      </c>
      <c r="G38" s="20" t="s">
        <v>2198</v>
      </c>
    </row>
    <row r="39" spans="1:7" ht="48" customHeight="1" x14ac:dyDescent="0.35">
      <c r="A39" s="27" t="s">
        <v>2199</v>
      </c>
      <c r="B39" s="28" t="s">
        <v>2200</v>
      </c>
      <c r="C39" s="28">
        <v>2016</v>
      </c>
      <c r="D39" s="28" t="s">
        <v>2201</v>
      </c>
      <c r="E39" s="27"/>
      <c r="F39" s="27" t="s">
        <v>2155</v>
      </c>
      <c r="G39" s="28" t="s">
        <v>2202</v>
      </c>
    </row>
    <row r="40" spans="1:7" ht="48" customHeight="1" x14ac:dyDescent="0.35">
      <c r="A40" s="19" t="s">
        <v>2203</v>
      </c>
      <c r="B40" s="20" t="s">
        <v>2204</v>
      </c>
      <c r="C40" s="20">
        <v>2007</v>
      </c>
      <c r="D40" s="20" t="s">
        <v>2205</v>
      </c>
      <c r="E40" s="19"/>
      <c r="F40" s="19" t="s">
        <v>2155</v>
      </c>
      <c r="G40" s="20" t="s">
        <v>2202</v>
      </c>
    </row>
    <row r="41" spans="1:7" ht="48" customHeight="1" x14ac:dyDescent="0.35">
      <c r="A41" s="27" t="s">
        <v>2206</v>
      </c>
      <c r="B41" s="28" t="s">
        <v>2207</v>
      </c>
      <c r="C41" s="28">
        <v>2010</v>
      </c>
      <c r="D41" s="28" t="s">
        <v>2208</v>
      </c>
      <c r="E41" s="27"/>
      <c r="F41" s="27" t="s">
        <v>2155</v>
      </c>
      <c r="G41" s="28" t="s">
        <v>2202</v>
      </c>
    </row>
    <row r="42" spans="1:7" ht="48" customHeight="1" x14ac:dyDescent="0.35">
      <c r="A42" s="19" t="s">
        <v>2209</v>
      </c>
      <c r="B42" s="20" t="s">
        <v>2210</v>
      </c>
      <c r="C42" s="20">
        <v>2016</v>
      </c>
      <c r="D42" s="20" t="s">
        <v>2211</v>
      </c>
      <c r="E42" s="19"/>
      <c r="F42" s="19" t="s">
        <v>2212</v>
      </c>
      <c r="G42" s="20"/>
    </row>
    <row r="43" spans="1:7" ht="48" customHeight="1" x14ac:dyDescent="0.35">
      <c r="A43" s="27" t="s">
        <v>2213</v>
      </c>
      <c r="B43" s="28" t="s">
        <v>2214</v>
      </c>
      <c r="C43" s="28" t="s">
        <v>2215</v>
      </c>
      <c r="D43" s="28" t="s">
        <v>2216</v>
      </c>
      <c r="E43" s="27" t="s">
        <v>1353</v>
      </c>
      <c r="F43" s="27" t="s">
        <v>2024</v>
      </c>
      <c r="G43" s="28" t="s">
        <v>2217</v>
      </c>
    </row>
    <row r="44" spans="1:7" ht="48" customHeight="1" x14ac:dyDescent="0.35">
      <c r="A44" s="19" t="s">
        <v>2218</v>
      </c>
      <c r="B44" s="20" t="s">
        <v>2219</v>
      </c>
      <c r="C44" s="20">
        <v>2020</v>
      </c>
      <c r="D44" s="20" t="s">
        <v>2220</v>
      </c>
      <c r="E44" s="19" t="s">
        <v>2221</v>
      </c>
      <c r="F44" s="19" t="s">
        <v>2043</v>
      </c>
      <c r="G44" s="20" t="s">
        <v>2222</v>
      </c>
    </row>
    <row r="45" spans="1:7" ht="48" customHeight="1" x14ac:dyDescent="0.35">
      <c r="A45" s="27" t="s">
        <v>2223</v>
      </c>
      <c r="B45" s="28" t="s">
        <v>2224</v>
      </c>
      <c r="C45" s="28">
        <v>2017</v>
      </c>
      <c r="D45" s="28" t="s">
        <v>2225</v>
      </c>
      <c r="E45" s="27" t="s">
        <v>1441</v>
      </c>
      <c r="F45" s="27" t="s">
        <v>2155</v>
      </c>
      <c r="G45" s="28" t="s">
        <v>2226</v>
      </c>
    </row>
    <row r="46" spans="1:7" ht="48" customHeight="1" x14ac:dyDescent="0.35">
      <c r="A46" s="19" t="s">
        <v>2227</v>
      </c>
      <c r="B46" s="20" t="s">
        <v>2228</v>
      </c>
      <c r="C46" s="20">
        <v>2017</v>
      </c>
      <c r="D46" s="20" t="s">
        <v>2229</v>
      </c>
      <c r="E46" s="19" t="s">
        <v>1468</v>
      </c>
      <c r="F46" s="19" t="s">
        <v>2043</v>
      </c>
      <c r="G46" s="20" t="s">
        <v>2230</v>
      </c>
    </row>
    <row r="47" spans="1:7" ht="48" customHeight="1" x14ac:dyDescent="0.35">
      <c r="A47" s="27" t="s">
        <v>2231</v>
      </c>
      <c r="B47" s="28" t="s">
        <v>2232</v>
      </c>
      <c r="C47" s="28">
        <v>2021</v>
      </c>
      <c r="D47" s="28" t="s">
        <v>2233</v>
      </c>
      <c r="E47" s="27" t="s">
        <v>2234</v>
      </c>
      <c r="F47" s="27" t="s">
        <v>2043</v>
      </c>
      <c r="G47" s="28" t="s">
        <v>2235</v>
      </c>
    </row>
    <row r="48" spans="1:7" ht="48" customHeight="1" x14ac:dyDescent="0.35">
      <c r="A48" s="19" t="s">
        <v>2236</v>
      </c>
      <c r="B48" s="20" t="s">
        <v>2237</v>
      </c>
      <c r="C48" s="20" t="s">
        <v>2238</v>
      </c>
      <c r="D48" s="20" t="s">
        <v>2239</v>
      </c>
      <c r="E48" s="19" t="s">
        <v>2240</v>
      </c>
      <c r="F48" s="19" t="s">
        <v>2043</v>
      </c>
      <c r="G48" s="20" t="s">
        <v>2241</v>
      </c>
    </row>
    <row r="49" spans="1:7" ht="48" customHeight="1" x14ac:dyDescent="0.35">
      <c r="A49" s="27" t="s">
        <v>2242</v>
      </c>
      <c r="B49" s="28" t="s">
        <v>2243</v>
      </c>
      <c r="C49" s="28">
        <v>2020</v>
      </c>
      <c r="D49" s="28" t="s">
        <v>2244</v>
      </c>
      <c r="E49" s="27" t="s">
        <v>2245</v>
      </c>
      <c r="F49" s="27" t="s">
        <v>2024</v>
      </c>
      <c r="G49" s="28" t="s">
        <v>2246</v>
      </c>
    </row>
    <row r="50" spans="1:7" ht="48" customHeight="1" x14ac:dyDescent="0.35">
      <c r="A50" s="19" t="s">
        <v>2247</v>
      </c>
      <c r="B50" s="20" t="s">
        <v>2248</v>
      </c>
      <c r="C50" s="20">
        <v>2021</v>
      </c>
      <c r="D50" s="20" t="s">
        <v>2249</v>
      </c>
      <c r="E50" s="19" t="s">
        <v>597</v>
      </c>
      <c r="F50" s="19" t="s">
        <v>2024</v>
      </c>
      <c r="G50" s="20" t="s">
        <v>2250</v>
      </c>
    </row>
    <row r="51" spans="1:7" ht="48" customHeight="1" x14ac:dyDescent="0.35">
      <c r="A51" s="27" t="s">
        <v>2251</v>
      </c>
      <c r="B51" s="28" t="s">
        <v>2252</v>
      </c>
      <c r="C51" s="28" t="s">
        <v>2253</v>
      </c>
      <c r="D51" s="28" t="s">
        <v>2254</v>
      </c>
      <c r="E51" s="27" t="s">
        <v>2245</v>
      </c>
      <c r="F51" s="27" t="s">
        <v>2024</v>
      </c>
      <c r="G51" s="28" t="s">
        <v>2255</v>
      </c>
    </row>
    <row r="52" spans="1:7" ht="48" customHeight="1" x14ac:dyDescent="0.35">
      <c r="A52" s="19" t="s">
        <v>2256</v>
      </c>
      <c r="B52" s="20" t="s">
        <v>2257</v>
      </c>
      <c r="C52" s="20" t="s">
        <v>2258</v>
      </c>
      <c r="D52" s="20" t="s">
        <v>2259</v>
      </c>
      <c r="E52" s="19" t="s">
        <v>2260</v>
      </c>
      <c r="F52" s="19" t="s">
        <v>2024</v>
      </c>
      <c r="G52" s="20" t="s">
        <v>2261</v>
      </c>
    </row>
    <row r="53" spans="1:7" ht="48" customHeight="1" x14ac:dyDescent="0.35">
      <c r="A53" s="27" t="s">
        <v>2262</v>
      </c>
      <c r="B53" s="28" t="s">
        <v>2263</v>
      </c>
      <c r="C53" s="28" t="s">
        <v>2264</v>
      </c>
      <c r="D53" s="28" t="s">
        <v>2265</v>
      </c>
      <c r="E53" s="27" t="s">
        <v>1538</v>
      </c>
      <c r="F53" s="27" t="s">
        <v>2024</v>
      </c>
      <c r="G53" s="28" t="s">
        <v>2266</v>
      </c>
    </row>
    <row r="54" spans="1:7" ht="48" customHeight="1" x14ac:dyDescent="0.35">
      <c r="A54" s="19" t="s">
        <v>2267</v>
      </c>
      <c r="B54" s="20" t="s">
        <v>2268</v>
      </c>
      <c r="C54" s="20" t="s">
        <v>2269</v>
      </c>
      <c r="D54" s="20" t="s">
        <v>2270</v>
      </c>
      <c r="E54" s="19" t="s">
        <v>2271</v>
      </c>
      <c r="F54" s="19" t="s">
        <v>2017</v>
      </c>
      <c r="G54" s="20" t="s">
        <v>2272</v>
      </c>
    </row>
    <row r="55" spans="1:7" ht="48" customHeight="1" x14ac:dyDescent="0.35">
      <c r="A55" s="27" t="s">
        <v>2273</v>
      </c>
      <c r="B55" s="28" t="s">
        <v>2274</v>
      </c>
      <c r="C55" s="28">
        <v>2015</v>
      </c>
      <c r="D55" s="28" t="s">
        <v>2275</v>
      </c>
      <c r="E55" s="27"/>
      <c r="F55" s="27" t="s">
        <v>2212</v>
      </c>
      <c r="G55" s="28"/>
    </row>
    <row r="56" spans="1:7" ht="48" customHeight="1" x14ac:dyDescent="0.35">
      <c r="A56" s="19" t="s">
        <v>2276</v>
      </c>
      <c r="B56" s="20" t="s">
        <v>2277</v>
      </c>
      <c r="C56" s="20" t="s">
        <v>2278</v>
      </c>
      <c r="D56" s="20" t="s">
        <v>2279</v>
      </c>
      <c r="E56" s="19" t="s">
        <v>2280</v>
      </c>
      <c r="F56" s="19" t="s">
        <v>2024</v>
      </c>
      <c r="G56" s="20" t="s">
        <v>2281</v>
      </c>
    </row>
    <row r="57" spans="1:7" ht="48" customHeight="1" x14ac:dyDescent="0.35">
      <c r="A57" s="27" t="s">
        <v>2282</v>
      </c>
      <c r="B57" s="28" t="s">
        <v>2283</v>
      </c>
      <c r="C57" s="28" t="s">
        <v>2284</v>
      </c>
      <c r="D57" s="28" t="s">
        <v>2285</v>
      </c>
      <c r="E57" s="27" t="s">
        <v>1671</v>
      </c>
      <c r="F57" s="27" t="s">
        <v>2017</v>
      </c>
      <c r="G57" s="28" t="s">
        <v>2286</v>
      </c>
    </row>
    <row r="58" spans="1:7" ht="48" customHeight="1" x14ac:dyDescent="0.35">
      <c r="A58" s="19" t="s">
        <v>2287</v>
      </c>
      <c r="B58" s="20" t="s">
        <v>2288</v>
      </c>
      <c r="C58" s="20" t="s">
        <v>2289</v>
      </c>
      <c r="D58" s="20" t="s">
        <v>2290</v>
      </c>
      <c r="E58" s="19" t="s">
        <v>1345</v>
      </c>
      <c r="F58" s="19" t="s">
        <v>2024</v>
      </c>
      <c r="G58" s="20" t="s">
        <v>2291</v>
      </c>
    </row>
    <row r="59" spans="1:7" ht="48" customHeight="1" x14ac:dyDescent="0.35">
      <c r="A59" s="27" t="s">
        <v>2292</v>
      </c>
      <c r="B59" s="28" t="s">
        <v>2293</v>
      </c>
      <c r="C59" s="28">
        <v>2024</v>
      </c>
      <c r="D59" s="28" t="s">
        <v>2294</v>
      </c>
      <c r="E59" s="27" t="s">
        <v>1369</v>
      </c>
      <c r="F59" s="27" t="s">
        <v>2024</v>
      </c>
      <c r="G59" s="28" t="s">
        <v>2295</v>
      </c>
    </row>
    <row r="60" spans="1:7" ht="48" customHeight="1" x14ac:dyDescent="0.35">
      <c r="A60" s="19" t="s">
        <v>2296</v>
      </c>
      <c r="B60" s="20" t="s">
        <v>2297</v>
      </c>
      <c r="C60" s="20" t="s">
        <v>2298</v>
      </c>
      <c r="D60" s="20" t="s">
        <v>2299</v>
      </c>
      <c r="E60" s="19" t="s">
        <v>1142</v>
      </c>
      <c r="F60" s="19" t="s">
        <v>2024</v>
      </c>
      <c r="G60" s="20" t="s">
        <v>2300</v>
      </c>
    </row>
    <row r="61" spans="1:7" ht="48" customHeight="1" x14ac:dyDescent="0.35">
      <c r="A61" s="27" t="s">
        <v>2301</v>
      </c>
      <c r="B61" s="28" t="s">
        <v>2302</v>
      </c>
      <c r="C61" s="28" t="s">
        <v>2303</v>
      </c>
      <c r="D61" s="28" t="s">
        <v>2304</v>
      </c>
      <c r="E61" s="27" t="s">
        <v>1690</v>
      </c>
      <c r="F61" s="27" t="s">
        <v>2024</v>
      </c>
      <c r="G61" s="28" t="s">
        <v>2305</v>
      </c>
    </row>
    <row r="62" spans="1:7" ht="48" customHeight="1" x14ac:dyDescent="0.35">
      <c r="A62" s="19" t="s">
        <v>2306</v>
      </c>
      <c r="B62" s="20" t="s">
        <v>2307</v>
      </c>
      <c r="C62" s="20" t="s">
        <v>2308</v>
      </c>
      <c r="D62" s="20" t="s">
        <v>2309</v>
      </c>
      <c r="E62" s="19" t="s">
        <v>2310</v>
      </c>
      <c r="F62" s="19" t="s">
        <v>2024</v>
      </c>
      <c r="G62" s="20" t="s">
        <v>2311</v>
      </c>
    </row>
    <row r="63" spans="1:7" ht="48" customHeight="1" x14ac:dyDescent="0.35">
      <c r="A63" s="27" t="s">
        <v>2312</v>
      </c>
      <c r="B63" s="28" t="s">
        <v>2313</v>
      </c>
      <c r="C63" s="28" t="s">
        <v>2314</v>
      </c>
      <c r="D63" s="28" t="s">
        <v>2315</v>
      </c>
      <c r="E63" s="27" t="s">
        <v>597</v>
      </c>
      <c r="F63" s="27" t="s">
        <v>2024</v>
      </c>
      <c r="G63" s="28" t="s">
        <v>2316</v>
      </c>
    </row>
    <row r="64" spans="1:7" ht="48" customHeight="1" x14ac:dyDescent="0.35">
      <c r="A64" s="19" t="s">
        <v>2317</v>
      </c>
      <c r="B64" s="20" t="s">
        <v>2318</v>
      </c>
      <c r="C64" s="20" t="s">
        <v>2319</v>
      </c>
      <c r="D64" s="20" t="s">
        <v>2320</v>
      </c>
      <c r="E64" s="19" t="s">
        <v>597</v>
      </c>
      <c r="F64" s="19" t="s">
        <v>2024</v>
      </c>
      <c r="G64" s="20" t="s">
        <v>2321</v>
      </c>
    </row>
    <row r="65" spans="1:7" ht="48" customHeight="1" x14ac:dyDescent="0.35">
      <c r="A65" s="27" t="s">
        <v>2322</v>
      </c>
      <c r="B65" s="28" t="s">
        <v>2323</v>
      </c>
      <c r="C65" s="28" t="s">
        <v>2324</v>
      </c>
      <c r="D65" s="28" t="s">
        <v>2325</v>
      </c>
      <c r="E65" s="27" t="s">
        <v>634</v>
      </c>
      <c r="F65" s="27" t="s">
        <v>2043</v>
      </c>
      <c r="G65" s="28" t="s">
        <v>2326</v>
      </c>
    </row>
    <row r="66" spans="1:7" ht="48" customHeight="1" x14ac:dyDescent="0.35">
      <c r="A66" s="19" t="s">
        <v>2327</v>
      </c>
      <c r="B66" s="20" t="s">
        <v>2328</v>
      </c>
      <c r="C66" s="20" t="s">
        <v>2329</v>
      </c>
      <c r="D66" s="20" t="s">
        <v>2330</v>
      </c>
      <c r="E66" s="19" t="s">
        <v>676</v>
      </c>
      <c r="F66" s="19" t="s">
        <v>2043</v>
      </c>
      <c r="G66" s="20" t="s">
        <v>2331</v>
      </c>
    </row>
    <row r="67" spans="1:7" ht="48" customHeight="1" x14ac:dyDescent="0.35">
      <c r="A67" s="27" t="s">
        <v>2332</v>
      </c>
      <c r="B67" s="28" t="s">
        <v>2333</v>
      </c>
      <c r="C67" s="28" t="s">
        <v>2334</v>
      </c>
      <c r="D67" s="28" t="s">
        <v>2335</v>
      </c>
      <c r="E67" s="27" t="s">
        <v>634</v>
      </c>
      <c r="F67" s="27" t="s">
        <v>2024</v>
      </c>
      <c r="G67" s="28" t="s">
        <v>2336</v>
      </c>
    </row>
    <row r="68" spans="1:7" ht="48" customHeight="1" x14ac:dyDescent="0.35">
      <c r="A68" s="19" t="s">
        <v>2337</v>
      </c>
      <c r="B68" s="20" t="s">
        <v>2338</v>
      </c>
      <c r="C68" s="20">
        <v>2020</v>
      </c>
      <c r="D68" s="20" t="s">
        <v>2339</v>
      </c>
      <c r="E68" s="19" t="s">
        <v>696</v>
      </c>
      <c r="F68" s="19" t="s">
        <v>2024</v>
      </c>
      <c r="G68" s="20" t="s">
        <v>2340</v>
      </c>
    </row>
    <row r="69" spans="1:7" ht="48" customHeight="1" x14ac:dyDescent="0.35">
      <c r="A69" s="27" t="s">
        <v>2341</v>
      </c>
      <c r="B69" s="28" t="s">
        <v>2342</v>
      </c>
      <c r="C69" s="28" t="s">
        <v>2343</v>
      </c>
      <c r="D69" s="28" t="s">
        <v>2344</v>
      </c>
      <c r="E69" s="27" t="s">
        <v>634</v>
      </c>
      <c r="F69" s="27" t="s">
        <v>2043</v>
      </c>
      <c r="G69" s="28" t="s">
        <v>2345</v>
      </c>
    </row>
    <row r="70" spans="1:7" ht="48" customHeight="1" x14ac:dyDescent="0.35">
      <c r="A70" s="19" t="s">
        <v>2346</v>
      </c>
      <c r="B70" s="20" t="s">
        <v>2347</v>
      </c>
      <c r="C70" s="20" t="s">
        <v>2348</v>
      </c>
      <c r="D70" s="20" t="s">
        <v>2349</v>
      </c>
      <c r="E70" s="19" t="s">
        <v>1706</v>
      </c>
      <c r="F70" s="19" t="s">
        <v>2043</v>
      </c>
      <c r="G70" s="20" t="s">
        <v>2350</v>
      </c>
    </row>
    <row r="71" spans="1:7" ht="48" customHeight="1" x14ac:dyDescent="0.35">
      <c r="A71" s="27" t="s">
        <v>2351</v>
      </c>
      <c r="B71" s="28" t="s">
        <v>2352</v>
      </c>
      <c r="C71" s="28" t="s">
        <v>2353</v>
      </c>
      <c r="D71" s="28" t="s">
        <v>2354</v>
      </c>
      <c r="E71" s="27" t="s">
        <v>2355</v>
      </c>
      <c r="F71" s="27" t="s">
        <v>2043</v>
      </c>
      <c r="G71" s="28" t="s">
        <v>2356</v>
      </c>
    </row>
    <row r="72" spans="1:7" ht="48" customHeight="1" x14ac:dyDescent="0.35">
      <c r="A72" s="19" t="s">
        <v>2357</v>
      </c>
      <c r="B72" s="20" t="s">
        <v>2358</v>
      </c>
      <c r="C72" s="20" t="s">
        <v>2359</v>
      </c>
      <c r="D72" s="20" t="s">
        <v>2360</v>
      </c>
      <c r="E72" s="19" t="s">
        <v>1700</v>
      </c>
      <c r="F72" s="19" t="s">
        <v>2043</v>
      </c>
      <c r="G72" s="20" t="s">
        <v>2361</v>
      </c>
    </row>
    <row r="73" spans="1:7" ht="48" customHeight="1" x14ac:dyDescent="0.35">
      <c r="A73" s="27" t="s">
        <v>2362</v>
      </c>
      <c r="B73" s="28" t="s">
        <v>2363</v>
      </c>
      <c r="C73" s="28" t="s">
        <v>2364</v>
      </c>
      <c r="D73" s="28" t="s">
        <v>2365</v>
      </c>
      <c r="E73" s="27" t="s">
        <v>2366</v>
      </c>
      <c r="F73" s="27" t="s">
        <v>2043</v>
      </c>
      <c r="G73" s="28" t="s">
        <v>2367</v>
      </c>
    </row>
  </sheetData>
  <autoFilter ref="A1:G73" xr:uid="{00000000-0009-0000-0000-000009000000}"/>
  <conditionalFormatting sqref="F2:F73">
    <cfRule type="expression" dxfId="2" priority="2">
      <formula>F2="Y"</formula>
    </cfRule>
    <cfRule type="expression" dxfId="1" priority="3">
      <formula>F2="Partial"</formula>
    </cfRule>
    <cfRule type="expression" dxfId="0" priority="4">
      <formula>F2="N"</formula>
    </cfRule>
  </conditionalFormatting>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B6B6B"/>
    <pageSetUpPr fitToPage="1"/>
  </sheetPr>
  <dimension ref="A1:J204"/>
  <sheetViews>
    <sheetView zoomScaleNormal="100" workbookViewId="0">
      <pane ySplit="1" topLeftCell="A2" activePane="bottomLeft" state="frozen"/>
      <selection pane="bottomLeft"/>
    </sheetView>
  </sheetViews>
  <sheetFormatPr defaultColWidth="8.6328125" defaultRowHeight="14.5" x14ac:dyDescent="0.35"/>
  <cols>
    <col min="1" max="1" width="24" customWidth="1"/>
    <col min="2" max="2" width="28" customWidth="1"/>
    <col min="3" max="3" width="7" customWidth="1"/>
    <col min="4" max="4" width="10" customWidth="1"/>
    <col min="5" max="5" width="11" customWidth="1"/>
    <col min="6" max="6" width="9" customWidth="1"/>
    <col min="7" max="7" width="70" customWidth="1"/>
    <col min="8" max="8" width="10" customWidth="1"/>
    <col min="9" max="9" width="26" customWidth="1"/>
    <col min="10" max="10" width="14" customWidth="1"/>
  </cols>
  <sheetData>
    <row r="1" spans="1:10" ht="34" customHeight="1" x14ac:dyDescent="0.35">
      <c r="A1" s="18" t="s">
        <v>51</v>
      </c>
      <c r="B1" s="18" t="s">
        <v>52</v>
      </c>
      <c r="C1" s="18" t="s">
        <v>2368</v>
      </c>
      <c r="D1" s="18" t="s">
        <v>2369</v>
      </c>
      <c r="E1" s="18" t="s">
        <v>2370</v>
      </c>
      <c r="F1" s="18" t="s">
        <v>2371</v>
      </c>
      <c r="G1" s="18" t="s">
        <v>2372</v>
      </c>
      <c r="H1" s="18" t="s">
        <v>795</v>
      </c>
      <c r="I1" s="18" t="s">
        <v>2373</v>
      </c>
      <c r="J1" s="18" t="s">
        <v>2374</v>
      </c>
    </row>
    <row r="2" spans="1:10" ht="48" customHeight="1" x14ac:dyDescent="0.35">
      <c r="A2" s="20" t="s">
        <v>73</v>
      </c>
      <c r="B2" s="20" t="s">
        <v>349</v>
      </c>
      <c r="C2" s="19" t="s">
        <v>147</v>
      </c>
      <c r="D2" s="21">
        <v>3</v>
      </c>
      <c r="E2" s="19">
        <v>1</v>
      </c>
      <c r="F2" s="19">
        <v>14</v>
      </c>
      <c r="G2" s="20" t="s">
        <v>2375</v>
      </c>
      <c r="H2" s="19" t="s">
        <v>1389</v>
      </c>
      <c r="I2" s="26" t="s">
        <v>354</v>
      </c>
      <c r="J2" s="24" t="s">
        <v>2376</v>
      </c>
    </row>
    <row r="3" spans="1:10" ht="48" customHeight="1" x14ac:dyDescent="0.35">
      <c r="A3" s="28" t="s">
        <v>73</v>
      </c>
      <c r="B3" s="28" t="s">
        <v>2377</v>
      </c>
      <c r="C3" s="27" t="s">
        <v>147</v>
      </c>
      <c r="D3" s="29">
        <v>3</v>
      </c>
      <c r="E3" s="27">
        <v>3</v>
      </c>
      <c r="F3" s="27">
        <v>5</v>
      </c>
      <c r="G3" s="28" t="s">
        <v>2378</v>
      </c>
      <c r="H3" s="27" t="s">
        <v>1389</v>
      </c>
      <c r="I3" s="33" t="s">
        <v>354</v>
      </c>
      <c r="J3" s="32" t="s">
        <v>2376</v>
      </c>
    </row>
    <row r="4" spans="1:10" ht="48" customHeight="1" x14ac:dyDescent="0.35">
      <c r="A4" s="20" t="s">
        <v>73</v>
      </c>
      <c r="B4" s="20" t="s">
        <v>364</v>
      </c>
      <c r="C4" s="19" t="s">
        <v>147</v>
      </c>
      <c r="D4" s="21">
        <v>0</v>
      </c>
      <c r="E4" s="19">
        <v>0</v>
      </c>
      <c r="F4" s="19"/>
      <c r="G4" s="20"/>
      <c r="H4" s="19" t="s">
        <v>1389</v>
      </c>
      <c r="I4" s="26" t="s">
        <v>354</v>
      </c>
      <c r="J4" s="24" t="s">
        <v>2376</v>
      </c>
    </row>
    <row r="5" spans="1:10" ht="48" customHeight="1" x14ac:dyDescent="0.35">
      <c r="A5" s="28" t="s">
        <v>73</v>
      </c>
      <c r="B5" s="28" t="s">
        <v>371</v>
      </c>
      <c r="C5" s="27" t="s">
        <v>147</v>
      </c>
      <c r="D5" s="29">
        <v>0</v>
      </c>
      <c r="E5" s="27">
        <v>0</v>
      </c>
      <c r="F5" s="27"/>
      <c r="G5" s="28"/>
      <c r="H5" s="27" t="s">
        <v>1389</v>
      </c>
      <c r="I5" s="33" t="s">
        <v>354</v>
      </c>
      <c r="J5" s="32" t="s">
        <v>2376</v>
      </c>
    </row>
    <row r="6" spans="1:10" ht="48" customHeight="1" x14ac:dyDescent="0.35">
      <c r="A6" s="20" t="s">
        <v>73</v>
      </c>
      <c r="B6" s="20" t="s">
        <v>376</v>
      </c>
      <c r="C6" s="19" t="s">
        <v>147</v>
      </c>
      <c r="D6" s="21">
        <v>0</v>
      </c>
      <c r="E6" s="19">
        <v>0</v>
      </c>
      <c r="F6" s="19"/>
      <c r="G6" s="20"/>
      <c r="H6" s="19" t="s">
        <v>1389</v>
      </c>
      <c r="I6" s="26" t="s">
        <v>354</v>
      </c>
      <c r="J6" s="24" t="s">
        <v>2376</v>
      </c>
    </row>
    <row r="7" spans="1:10" ht="48" customHeight="1" x14ac:dyDescent="0.35">
      <c r="A7" s="28" t="s">
        <v>73</v>
      </c>
      <c r="B7" s="28" t="s">
        <v>349</v>
      </c>
      <c r="C7" s="27" t="s">
        <v>183</v>
      </c>
      <c r="D7" s="29">
        <v>1</v>
      </c>
      <c r="E7" s="27">
        <v>1</v>
      </c>
      <c r="F7" s="27">
        <v>14</v>
      </c>
      <c r="G7" s="28" t="s">
        <v>2379</v>
      </c>
      <c r="H7" s="27" t="s">
        <v>1392</v>
      </c>
      <c r="I7" s="33" t="s">
        <v>1393</v>
      </c>
      <c r="J7" s="32" t="s">
        <v>2376</v>
      </c>
    </row>
    <row r="8" spans="1:10" ht="48" customHeight="1" x14ac:dyDescent="0.35">
      <c r="A8" s="20" t="s">
        <v>73</v>
      </c>
      <c r="B8" s="20" t="s">
        <v>2377</v>
      </c>
      <c r="C8" s="19" t="s">
        <v>183</v>
      </c>
      <c r="D8" s="21">
        <v>1</v>
      </c>
      <c r="E8" s="19">
        <v>1</v>
      </c>
      <c r="F8" s="19">
        <v>14</v>
      </c>
      <c r="G8" s="20" t="s">
        <v>2380</v>
      </c>
      <c r="H8" s="19" t="s">
        <v>1392</v>
      </c>
      <c r="I8" s="26" t="s">
        <v>1393</v>
      </c>
      <c r="J8" s="24" t="s">
        <v>2376</v>
      </c>
    </row>
    <row r="9" spans="1:10" ht="48" customHeight="1" x14ac:dyDescent="0.35">
      <c r="A9" s="28" t="s">
        <v>73</v>
      </c>
      <c r="B9" s="28" t="s">
        <v>364</v>
      </c>
      <c r="C9" s="27" t="s">
        <v>183</v>
      </c>
      <c r="D9" s="29">
        <v>0</v>
      </c>
      <c r="E9" s="27">
        <v>0</v>
      </c>
      <c r="F9" s="27"/>
      <c r="G9" s="28"/>
      <c r="H9" s="27" t="s">
        <v>1392</v>
      </c>
      <c r="I9" s="33" t="s">
        <v>1393</v>
      </c>
      <c r="J9" s="32" t="s">
        <v>2376</v>
      </c>
    </row>
    <row r="10" spans="1:10" ht="48" customHeight="1" x14ac:dyDescent="0.35">
      <c r="A10" s="20" t="s">
        <v>73</v>
      </c>
      <c r="B10" s="20" t="s">
        <v>371</v>
      </c>
      <c r="C10" s="19" t="s">
        <v>183</v>
      </c>
      <c r="D10" s="21">
        <v>0</v>
      </c>
      <c r="E10" s="19">
        <v>0</v>
      </c>
      <c r="F10" s="19"/>
      <c r="G10" s="20"/>
      <c r="H10" s="19" t="s">
        <v>1392</v>
      </c>
      <c r="I10" s="26" t="s">
        <v>1393</v>
      </c>
      <c r="J10" s="24" t="s">
        <v>2376</v>
      </c>
    </row>
    <row r="11" spans="1:10" ht="48" customHeight="1" x14ac:dyDescent="0.35">
      <c r="A11" s="28" t="s">
        <v>73</v>
      </c>
      <c r="B11" s="28" t="s">
        <v>376</v>
      </c>
      <c r="C11" s="27" t="s">
        <v>183</v>
      </c>
      <c r="D11" s="29">
        <v>0</v>
      </c>
      <c r="E11" s="27">
        <v>0</v>
      </c>
      <c r="F11" s="27"/>
      <c r="G11" s="28"/>
      <c r="H11" s="27" t="s">
        <v>1392</v>
      </c>
      <c r="I11" s="33" t="s">
        <v>1393</v>
      </c>
      <c r="J11" s="32" t="s">
        <v>2376</v>
      </c>
    </row>
    <row r="12" spans="1:10" ht="48" customHeight="1" x14ac:dyDescent="0.35">
      <c r="A12" s="20" t="s">
        <v>73</v>
      </c>
      <c r="B12" s="20" t="s">
        <v>349</v>
      </c>
      <c r="C12" s="19" t="s">
        <v>89</v>
      </c>
      <c r="D12" s="21">
        <v>0</v>
      </c>
      <c r="E12" s="19">
        <v>0</v>
      </c>
      <c r="F12" s="19"/>
      <c r="G12" s="20"/>
      <c r="H12" s="19" t="s">
        <v>1396</v>
      </c>
      <c r="I12" s="26" t="s">
        <v>1397</v>
      </c>
      <c r="J12" s="24" t="s">
        <v>2376</v>
      </c>
    </row>
    <row r="13" spans="1:10" ht="48" customHeight="1" x14ac:dyDescent="0.35">
      <c r="A13" s="28" t="s">
        <v>73</v>
      </c>
      <c r="B13" s="28" t="s">
        <v>2377</v>
      </c>
      <c r="C13" s="27" t="s">
        <v>89</v>
      </c>
      <c r="D13" s="29">
        <v>2</v>
      </c>
      <c r="E13" s="27">
        <v>2</v>
      </c>
      <c r="F13" s="27">
        <v>8</v>
      </c>
      <c r="G13" s="28" t="s">
        <v>2381</v>
      </c>
      <c r="H13" s="27" t="s">
        <v>1396</v>
      </c>
      <c r="I13" s="33" t="s">
        <v>1397</v>
      </c>
      <c r="J13" s="32" t="s">
        <v>2376</v>
      </c>
    </row>
    <row r="14" spans="1:10" ht="48" customHeight="1" x14ac:dyDescent="0.35">
      <c r="A14" s="20" t="s">
        <v>73</v>
      </c>
      <c r="B14" s="20" t="s">
        <v>364</v>
      </c>
      <c r="C14" s="19" t="s">
        <v>89</v>
      </c>
      <c r="D14" s="21">
        <v>0</v>
      </c>
      <c r="E14" s="19">
        <v>0</v>
      </c>
      <c r="F14" s="19"/>
      <c r="G14" s="20"/>
      <c r="H14" s="19" t="s">
        <v>1396</v>
      </c>
      <c r="I14" s="26" t="s">
        <v>1397</v>
      </c>
      <c r="J14" s="24" t="s">
        <v>2376</v>
      </c>
    </row>
    <row r="15" spans="1:10" ht="48" customHeight="1" x14ac:dyDescent="0.35">
      <c r="A15" s="28" t="s">
        <v>73</v>
      </c>
      <c r="B15" s="28" t="s">
        <v>371</v>
      </c>
      <c r="C15" s="27" t="s">
        <v>89</v>
      </c>
      <c r="D15" s="29">
        <v>0</v>
      </c>
      <c r="E15" s="27">
        <v>0</v>
      </c>
      <c r="F15" s="27"/>
      <c r="G15" s="28"/>
      <c r="H15" s="27" t="s">
        <v>1396</v>
      </c>
      <c r="I15" s="33" t="s">
        <v>1397</v>
      </c>
      <c r="J15" s="32" t="s">
        <v>2376</v>
      </c>
    </row>
    <row r="16" spans="1:10" ht="48" customHeight="1" x14ac:dyDescent="0.35">
      <c r="A16" s="20" t="s">
        <v>73</v>
      </c>
      <c r="B16" s="20" t="s">
        <v>376</v>
      </c>
      <c r="C16" s="19" t="s">
        <v>89</v>
      </c>
      <c r="D16" s="21">
        <v>0</v>
      </c>
      <c r="E16" s="19">
        <v>0</v>
      </c>
      <c r="F16" s="19"/>
      <c r="G16" s="20"/>
      <c r="H16" s="19" t="s">
        <v>1396</v>
      </c>
      <c r="I16" s="26" t="s">
        <v>1397</v>
      </c>
      <c r="J16" s="24" t="s">
        <v>2376</v>
      </c>
    </row>
    <row r="17" spans="1:10" ht="48" customHeight="1" x14ac:dyDescent="0.35">
      <c r="A17" s="28" t="s">
        <v>73</v>
      </c>
      <c r="B17" s="28" t="s">
        <v>349</v>
      </c>
      <c r="C17" s="27" t="s">
        <v>156</v>
      </c>
      <c r="D17" s="29">
        <v>0</v>
      </c>
      <c r="E17" s="27">
        <v>0</v>
      </c>
      <c r="F17" s="27"/>
      <c r="G17" s="28"/>
      <c r="H17" s="27" t="s">
        <v>1400</v>
      </c>
      <c r="I17" s="33" t="s">
        <v>368</v>
      </c>
      <c r="J17" s="32" t="s">
        <v>2376</v>
      </c>
    </row>
    <row r="18" spans="1:10" ht="48" customHeight="1" x14ac:dyDescent="0.35">
      <c r="A18" s="20" t="s">
        <v>73</v>
      </c>
      <c r="B18" s="20" t="s">
        <v>2377</v>
      </c>
      <c r="C18" s="19" t="s">
        <v>156</v>
      </c>
      <c r="D18" s="21">
        <v>1</v>
      </c>
      <c r="E18" s="19">
        <v>1</v>
      </c>
      <c r="F18" s="19">
        <v>31</v>
      </c>
      <c r="G18" s="20" t="s">
        <v>2382</v>
      </c>
      <c r="H18" s="19" t="s">
        <v>1400</v>
      </c>
      <c r="I18" s="26" t="s">
        <v>368</v>
      </c>
      <c r="J18" s="24" t="s">
        <v>2376</v>
      </c>
    </row>
    <row r="19" spans="1:10" ht="48" customHeight="1" x14ac:dyDescent="0.35">
      <c r="A19" s="28" t="s">
        <v>73</v>
      </c>
      <c r="B19" s="28" t="s">
        <v>364</v>
      </c>
      <c r="C19" s="27" t="s">
        <v>156</v>
      </c>
      <c r="D19" s="29">
        <v>5</v>
      </c>
      <c r="E19" s="27">
        <v>4</v>
      </c>
      <c r="F19" s="27">
        <v>13</v>
      </c>
      <c r="G19" s="28" t="s">
        <v>2383</v>
      </c>
      <c r="H19" s="27" t="s">
        <v>1400</v>
      </c>
      <c r="I19" s="33" t="s">
        <v>368</v>
      </c>
      <c r="J19" s="32" t="s">
        <v>2376</v>
      </c>
    </row>
    <row r="20" spans="1:10" ht="48" customHeight="1" x14ac:dyDescent="0.35">
      <c r="A20" s="20" t="s">
        <v>73</v>
      </c>
      <c r="B20" s="20" t="s">
        <v>371</v>
      </c>
      <c r="C20" s="19" t="s">
        <v>156</v>
      </c>
      <c r="D20" s="21">
        <v>5</v>
      </c>
      <c r="E20" s="19">
        <v>4</v>
      </c>
      <c r="F20" s="19">
        <v>13</v>
      </c>
      <c r="G20" s="20" t="s">
        <v>2383</v>
      </c>
      <c r="H20" s="19" t="s">
        <v>1400</v>
      </c>
      <c r="I20" s="26" t="s">
        <v>368</v>
      </c>
      <c r="J20" s="24" t="s">
        <v>2376</v>
      </c>
    </row>
    <row r="21" spans="1:10" ht="48" customHeight="1" x14ac:dyDescent="0.35">
      <c r="A21" s="28" t="s">
        <v>73</v>
      </c>
      <c r="B21" s="28" t="s">
        <v>376</v>
      </c>
      <c r="C21" s="27" t="s">
        <v>156</v>
      </c>
      <c r="D21" s="29">
        <v>2</v>
      </c>
      <c r="E21" s="27">
        <v>2</v>
      </c>
      <c r="F21" s="27">
        <v>18</v>
      </c>
      <c r="G21" s="28" t="s">
        <v>2384</v>
      </c>
      <c r="H21" s="27" t="s">
        <v>1400</v>
      </c>
      <c r="I21" s="33" t="s">
        <v>368</v>
      </c>
      <c r="J21" s="32" t="s">
        <v>2376</v>
      </c>
    </row>
    <row r="22" spans="1:10" ht="48" customHeight="1" x14ac:dyDescent="0.35">
      <c r="A22" s="20" t="s">
        <v>73</v>
      </c>
      <c r="B22" s="20" t="s">
        <v>349</v>
      </c>
      <c r="C22" s="19" t="s">
        <v>77</v>
      </c>
      <c r="D22" s="21">
        <v>0</v>
      </c>
      <c r="E22" s="19">
        <v>0</v>
      </c>
      <c r="F22" s="19"/>
      <c r="G22" s="20"/>
      <c r="H22" s="19" t="s">
        <v>1403</v>
      </c>
      <c r="I22" s="26" t="s">
        <v>1404</v>
      </c>
      <c r="J22" s="24" t="s">
        <v>2376</v>
      </c>
    </row>
    <row r="23" spans="1:10" ht="48" customHeight="1" x14ac:dyDescent="0.35">
      <c r="A23" s="28" t="s">
        <v>73</v>
      </c>
      <c r="B23" s="28" t="s">
        <v>2377</v>
      </c>
      <c r="C23" s="27" t="s">
        <v>77</v>
      </c>
      <c r="D23" s="29">
        <v>3</v>
      </c>
      <c r="E23" s="27">
        <v>3</v>
      </c>
      <c r="F23" s="27">
        <v>41</v>
      </c>
      <c r="G23" s="28" t="s">
        <v>2385</v>
      </c>
      <c r="H23" s="27" t="s">
        <v>1403</v>
      </c>
      <c r="I23" s="33" t="s">
        <v>1404</v>
      </c>
      <c r="J23" s="32" t="s">
        <v>2376</v>
      </c>
    </row>
    <row r="24" spans="1:10" ht="48" customHeight="1" x14ac:dyDescent="0.35">
      <c r="A24" s="20" t="s">
        <v>73</v>
      </c>
      <c r="B24" s="20" t="s">
        <v>364</v>
      </c>
      <c r="C24" s="19" t="s">
        <v>77</v>
      </c>
      <c r="D24" s="21">
        <v>0</v>
      </c>
      <c r="E24" s="19">
        <v>0</v>
      </c>
      <c r="F24" s="19"/>
      <c r="G24" s="20"/>
      <c r="H24" s="19" t="s">
        <v>1403</v>
      </c>
      <c r="I24" s="26" t="s">
        <v>1404</v>
      </c>
      <c r="J24" s="24" t="s">
        <v>2376</v>
      </c>
    </row>
    <row r="25" spans="1:10" ht="48" customHeight="1" x14ac:dyDescent="0.35">
      <c r="A25" s="28" t="s">
        <v>73</v>
      </c>
      <c r="B25" s="28" t="s">
        <v>371</v>
      </c>
      <c r="C25" s="27" t="s">
        <v>77</v>
      </c>
      <c r="D25" s="29">
        <v>0</v>
      </c>
      <c r="E25" s="27">
        <v>0</v>
      </c>
      <c r="F25" s="27"/>
      <c r="G25" s="28"/>
      <c r="H25" s="27" t="s">
        <v>1403</v>
      </c>
      <c r="I25" s="33" t="s">
        <v>1404</v>
      </c>
      <c r="J25" s="32" t="s">
        <v>2376</v>
      </c>
    </row>
    <row r="26" spans="1:10" ht="48" customHeight="1" x14ac:dyDescent="0.35">
      <c r="A26" s="20" t="s">
        <v>73</v>
      </c>
      <c r="B26" s="20" t="s">
        <v>376</v>
      </c>
      <c r="C26" s="19" t="s">
        <v>77</v>
      </c>
      <c r="D26" s="21">
        <v>2</v>
      </c>
      <c r="E26" s="19">
        <v>1</v>
      </c>
      <c r="F26" s="19">
        <v>63</v>
      </c>
      <c r="G26" s="20" t="s">
        <v>2386</v>
      </c>
      <c r="H26" s="19" t="s">
        <v>1403</v>
      </c>
      <c r="I26" s="26" t="s">
        <v>1404</v>
      </c>
      <c r="J26" s="24" t="s">
        <v>2376</v>
      </c>
    </row>
    <row r="27" spans="1:10" ht="48" customHeight="1" x14ac:dyDescent="0.35">
      <c r="A27" s="28" t="s">
        <v>73</v>
      </c>
      <c r="B27" s="28" t="s">
        <v>349</v>
      </c>
      <c r="C27" s="27" t="s">
        <v>208</v>
      </c>
      <c r="D27" s="29">
        <v>0</v>
      </c>
      <c r="E27" s="27">
        <v>0</v>
      </c>
      <c r="F27" s="27"/>
      <c r="G27" s="28"/>
      <c r="H27" s="27" t="s">
        <v>1407</v>
      </c>
      <c r="I27" s="33" t="s">
        <v>1408</v>
      </c>
      <c r="J27" s="32" t="s">
        <v>2376</v>
      </c>
    </row>
    <row r="28" spans="1:10" ht="48" customHeight="1" x14ac:dyDescent="0.35">
      <c r="A28" s="20" t="s">
        <v>73</v>
      </c>
      <c r="B28" s="20" t="s">
        <v>2377</v>
      </c>
      <c r="C28" s="19" t="s">
        <v>208</v>
      </c>
      <c r="D28" s="21">
        <v>2</v>
      </c>
      <c r="E28" s="19">
        <v>2</v>
      </c>
      <c r="F28" s="19">
        <v>22</v>
      </c>
      <c r="G28" s="20" t="s">
        <v>2387</v>
      </c>
      <c r="H28" s="19" t="s">
        <v>1407</v>
      </c>
      <c r="I28" s="26" t="s">
        <v>1408</v>
      </c>
      <c r="J28" s="24" t="s">
        <v>2376</v>
      </c>
    </row>
    <row r="29" spans="1:10" ht="48" customHeight="1" x14ac:dyDescent="0.35">
      <c r="A29" s="28" t="s">
        <v>73</v>
      </c>
      <c r="B29" s="28" t="s">
        <v>364</v>
      </c>
      <c r="C29" s="27" t="s">
        <v>208</v>
      </c>
      <c r="D29" s="29">
        <v>0</v>
      </c>
      <c r="E29" s="27">
        <v>0</v>
      </c>
      <c r="F29" s="27"/>
      <c r="G29" s="28"/>
      <c r="H29" s="27" t="s">
        <v>1407</v>
      </c>
      <c r="I29" s="33" t="s">
        <v>1408</v>
      </c>
      <c r="J29" s="32" t="s">
        <v>2376</v>
      </c>
    </row>
    <row r="30" spans="1:10" ht="48" customHeight="1" x14ac:dyDescent="0.35">
      <c r="A30" s="20" t="s">
        <v>73</v>
      </c>
      <c r="B30" s="20" t="s">
        <v>371</v>
      </c>
      <c r="C30" s="19" t="s">
        <v>208</v>
      </c>
      <c r="D30" s="21">
        <v>0</v>
      </c>
      <c r="E30" s="19">
        <v>0</v>
      </c>
      <c r="F30" s="19"/>
      <c r="G30" s="20"/>
      <c r="H30" s="19" t="s">
        <v>1407</v>
      </c>
      <c r="I30" s="26" t="s">
        <v>1408</v>
      </c>
      <c r="J30" s="24" t="s">
        <v>2376</v>
      </c>
    </row>
    <row r="31" spans="1:10" ht="48" customHeight="1" x14ac:dyDescent="0.35">
      <c r="A31" s="28" t="s">
        <v>73</v>
      </c>
      <c r="B31" s="28" t="s">
        <v>376</v>
      </c>
      <c r="C31" s="27" t="s">
        <v>208</v>
      </c>
      <c r="D31" s="29">
        <v>2</v>
      </c>
      <c r="E31" s="27">
        <v>2</v>
      </c>
      <c r="F31" s="27">
        <v>22</v>
      </c>
      <c r="G31" s="28" t="s">
        <v>2387</v>
      </c>
      <c r="H31" s="27" t="s">
        <v>1407</v>
      </c>
      <c r="I31" s="33" t="s">
        <v>1408</v>
      </c>
      <c r="J31" s="32" t="s">
        <v>2376</v>
      </c>
    </row>
    <row r="32" spans="1:10" ht="48" customHeight="1" x14ac:dyDescent="0.35">
      <c r="A32" s="20" t="s">
        <v>73</v>
      </c>
      <c r="B32" s="20" t="s">
        <v>349</v>
      </c>
      <c r="C32" s="19" t="s">
        <v>397</v>
      </c>
      <c r="D32" s="21">
        <v>0</v>
      </c>
      <c r="E32" s="19">
        <v>0</v>
      </c>
      <c r="F32" s="19"/>
      <c r="G32" s="20"/>
      <c r="H32" s="19" t="s">
        <v>634</v>
      </c>
      <c r="I32" s="26" t="s">
        <v>1411</v>
      </c>
      <c r="J32" s="24" t="s">
        <v>2376</v>
      </c>
    </row>
    <row r="33" spans="1:10" ht="48" customHeight="1" x14ac:dyDescent="0.35">
      <c r="A33" s="28" t="s">
        <v>73</v>
      </c>
      <c r="B33" s="28" t="s">
        <v>2377</v>
      </c>
      <c r="C33" s="27" t="s">
        <v>397</v>
      </c>
      <c r="D33" s="29">
        <v>0</v>
      </c>
      <c r="E33" s="27">
        <v>0</v>
      </c>
      <c r="F33" s="27"/>
      <c r="G33" s="28"/>
      <c r="H33" s="27" t="s">
        <v>634</v>
      </c>
      <c r="I33" s="33" t="s">
        <v>1411</v>
      </c>
      <c r="J33" s="32" t="s">
        <v>2376</v>
      </c>
    </row>
    <row r="34" spans="1:10" ht="48" customHeight="1" x14ac:dyDescent="0.35">
      <c r="A34" s="20" t="s">
        <v>73</v>
      </c>
      <c r="B34" s="20" t="s">
        <v>364</v>
      </c>
      <c r="C34" s="19" t="s">
        <v>397</v>
      </c>
      <c r="D34" s="21">
        <v>0</v>
      </c>
      <c r="E34" s="19">
        <v>0</v>
      </c>
      <c r="F34" s="19"/>
      <c r="G34" s="20"/>
      <c r="H34" s="19" t="s">
        <v>634</v>
      </c>
      <c r="I34" s="26" t="s">
        <v>1411</v>
      </c>
      <c r="J34" s="24" t="s">
        <v>2376</v>
      </c>
    </row>
    <row r="35" spans="1:10" ht="48" customHeight="1" x14ac:dyDescent="0.35">
      <c r="A35" s="28" t="s">
        <v>73</v>
      </c>
      <c r="B35" s="28" t="s">
        <v>371</v>
      </c>
      <c r="C35" s="27" t="s">
        <v>397</v>
      </c>
      <c r="D35" s="29">
        <v>0</v>
      </c>
      <c r="E35" s="27">
        <v>0</v>
      </c>
      <c r="F35" s="27"/>
      <c r="G35" s="28"/>
      <c r="H35" s="27" t="s">
        <v>634</v>
      </c>
      <c r="I35" s="33" t="s">
        <v>1411</v>
      </c>
      <c r="J35" s="32" t="s">
        <v>2376</v>
      </c>
    </row>
    <row r="36" spans="1:10" ht="48" customHeight="1" x14ac:dyDescent="0.35">
      <c r="A36" s="20" t="s">
        <v>73</v>
      </c>
      <c r="B36" s="20" t="s">
        <v>376</v>
      </c>
      <c r="C36" s="19" t="s">
        <v>397</v>
      </c>
      <c r="D36" s="21">
        <v>1</v>
      </c>
      <c r="E36" s="19">
        <v>1</v>
      </c>
      <c r="F36" s="19">
        <v>58</v>
      </c>
      <c r="G36" s="20" t="s">
        <v>2388</v>
      </c>
      <c r="H36" s="19" t="s">
        <v>634</v>
      </c>
      <c r="I36" s="26" t="s">
        <v>1411</v>
      </c>
      <c r="J36" s="24" t="s">
        <v>2376</v>
      </c>
    </row>
    <row r="37" spans="1:10" ht="48" customHeight="1" x14ac:dyDescent="0.35">
      <c r="A37" s="28" t="s">
        <v>107</v>
      </c>
      <c r="B37" s="28" t="s">
        <v>479</v>
      </c>
      <c r="C37" s="27" t="s">
        <v>147</v>
      </c>
      <c r="D37" s="29">
        <v>11</v>
      </c>
      <c r="E37" s="27">
        <v>10</v>
      </c>
      <c r="F37" s="27">
        <v>10</v>
      </c>
      <c r="G37" s="28" t="s">
        <v>2389</v>
      </c>
      <c r="H37" s="27" t="s">
        <v>1414</v>
      </c>
      <c r="I37" s="33" t="s">
        <v>483</v>
      </c>
      <c r="J37" s="32" t="s">
        <v>2376</v>
      </c>
    </row>
    <row r="38" spans="1:10" ht="48" customHeight="1" x14ac:dyDescent="0.35">
      <c r="A38" s="20" t="s">
        <v>107</v>
      </c>
      <c r="B38" s="20" t="s">
        <v>486</v>
      </c>
      <c r="C38" s="19" t="s">
        <v>147</v>
      </c>
      <c r="D38" s="21">
        <v>8</v>
      </c>
      <c r="E38" s="19">
        <v>6</v>
      </c>
      <c r="F38" s="19">
        <v>10</v>
      </c>
      <c r="G38" s="20" t="s">
        <v>2390</v>
      </c>
      <c r="H38" s="19" t="s">
        <v>1414</v>
      </c>
      <c r="I38" s="26" t="s">
        <v>483</v>
      </c>
      <c r="J38" s="24" t="s">
        <v>2376</v>
      </c>
    </row>
    <row r="39" spans="1:10" ht="48" customHeight="1" x14ac:dyDescent="0.35">
      <c r="A39" s="28" t="s">
        <v>107</v>
      </c>
      <c r="B39" s="28" t="s">
        <v>491</v>
      </c>
      <c r="C39" s="27" t="s">
        <v>147</v>
      </c>
      <c r="D39" s="29">
        <v>8</v>
      </c>
      <c r="E39" s="27">
        <v>2</v>
      </c>
      <c r="F39" s="27">
        <v>80</v>
      </c>
      <c r="G39" s="28" t="s">
        <v>2391</v>
      </c>
      <c r="H39" s="27" t="s">
        <v>1414</v>
      </c>
      <c r="I39" s="33" t="s">
        <v>483</v>
      </c>
      <c r="J39" s="32" t="s">
        <v>2376</v>
      </c>
    </row>
    <row r="40" spans="1:10" ht="48" customHeight="1" x14ac:dyDescent="0.35">
      <c r="A40" s="20" t="s">
        <v>107</v>
      </c>
      <c r="B40" s="20" t="s">
        <v>479</v>
      </c>
      <c r="C40" s="19" t="s">
        <v>183</v>
      </c>
      <c r="D40" s="21">
        <v>7</v>
      </c>
      <c r="E40" s="19">
        <v>7</v>
      </c>
      <c r="F40" s="19">
        <v>38</v>
      </c>
      <c r="G40" s="20" t="s">
        <v>2392</v>
      </c>
      <c r="H40" s="19" t="s">
        <v>1417</v>
      </c>
      <c r="I40" s="26" t="s">
        <v>1418</v>
      </c>
      <c r="J40" s="24" t="s">
        <v>2376</v>
      </c>
    </row>
    <row r="41" spans="1:10" ht="48" customHeight="1" x14ac:dyDescent="0.35">
      <c r="A41" s="28" t="s">
        <v>107</v>
      </c>
      <c r="B41" s="28" t="s">
        <v>486</v>
      </c>
      <c r="C41" s="27" t="s">
        <v>183</v>
      </c>
      <c r="D41" s="29">
        <v>6</v>
      </c>
      <c r="E41" s="27">
        <v>3</v>
      </c>
      <c r="F41" s="27">
        <v>90</v>
      </c>
      <c r="G41" s="28" t="s">
        <v>2393</v>
      </c>
      <c r="H41" s="27" t="s">
        <v>1417</v>
      </c>
      <c r="I41" s="33" t="s">
        <v>1418</v>
      </c>
      <c r="J41" s="32" t="s">
        <v>2376</v>
      </c>
    </row>
    <row r="42" spans="1:10" ht="48" customHeight="1" x14ac:dyDescent="0.35">
      <c r="A42" s="20" t="s">
        <v>107</v>
      </c>
      <c r="B42" s="20" t="s">
        <v>491</v>
      </c>
      <c r="C42" s="19" t="s">
        <v>183</v>
      </c>
      <c r="D42" s="21">
        <v>7</v>
      </c>
      <c r="E42" s="19">
        <v>3</v>
      </c>
      <c r="F42" s="19">
        <v>86</v>
      </c>
      <c r="G42" s="20" t="s">
        <v>2394</v>
      </c>
      <c r="H42" s="19" t="s">
        <v>1417</v>
      </c>
      <c r="I42" s="26" t="s">
        <v>1418</v>
      </c>
      <c r="J42" s="24" t="s">
        <v>2376</v>
      </c>
    </row>
    <row r="43" spans="1:10" ht="48" customHeight="1" x14ac:dyDescent="0.35">
      <c r="A43" s="28" t="s">
        <v>107</v>
      </c>
      <c r="B43" s="28" t="s">
        <v>479</v>
      </c>
      <c r="C43" s="27" t="s">
        <v>89</v>
      </c>
      <c r="D43" s="29">
        <v>13</v>
      </c>
      <c r="E43" s="27">
        <v>7</v>
      </c>
      <c r="F43" s="27">
        <v>19</v>
      </c>
      <c r="G43" s="28" t="s">
        <v>2395</v>
      </c>
      <c r="H43" s="27" t="s">
        <v>1421</v>
      </c>
      <c r="I43" s="33" t="s">
        <v>1422</v>
      </c>
      <c r="J43" s="32" t="s">
        <v>2376</v>
      </c>
    </row>
    <row r="44" spans="1:10" ht="48" customHeight="1" x14ac:dyDescent="0.35">
      <c r="A44" s="20" t="s">
        <v>107</v>
      </c>
      <c r="B44" s="20" t="s">
        <v>486</v>
      </c>
      <c r="C44" s="19" t="s">
        <v>89</v>
      </c>
      <c r="D44" s="21">
        <v>5</v>
      </c>
      <c r="E44" s="19">
        <v>5</v>
      </c>
      <c r="F44" s="19">
        <v>17</v>
      </c>
      <c r="G44" s="20" t="s">
        <v>2396</v>
      </c>
      <c r="H44" s="19" t="s">
        <v>1421</v>
      </c>
      <c r="I44" s="26" t="s">
        <v>1422</v>
      </c>
      <c r="J44" s="24" t="s">
        <v>2376</v>
      </c>
    </row>
    <row r="45" spans="1:10" ht="48" customHeight="1" x14ac:dyDescent="0.35">
      <c r="A45" s="28" t="s">
        <v>107</v>
      </c>
      <c r="B45" s="28" t="s">
        <v>491</v>
      </c>
      <c r="C45" s="27" t="s">
        <v>89</v>
      </c>
      <c r="D45" s="29">
        <v>4</v>
      </c>
      <c r="E45" s="27">
        <v>3</v>
      </c>
      <c r="F45" s="27">
        <v>19</v>
      </c>
      <c r="G45" s="28" t="s">
        <v>2395</v>
      </c>
      <c r="H45" s="27" t="s">
        <v>1421</v>
      </c>
      <c r="I45" s="33" t="s">
        <v>1422</v>
      </c>
      <c r="J45" s="32" t="s">
        <v>2376</v>
      </c>
    </row>
    <row r="46" spans="1:10" ht="48" customHeight="1" x14ac:dyDescent="0.35">
      <c r="A46" s="20" t="s">
        <v>107</v>
      </c>
      <c r="B46" s="20" t="s">
        <v>479</v>
      </c>
      <c r="C46" s="19" t="s">
        <v>156</v>
      </c>
      <c r="D46" s="21">
        <v>9</v>
      </c>
      <c r="E46" s="19">
        <v>5</v>
      </c>
      <c r="F46" s="19">
        <v>23</v>
      </c>
      <c r="G46" s="20" t="s">
        <v>2397</v>
      </c>
      <c r="H46" s="19" t="s">
        <v>1425</v>
      </c>
      <c r="I46" s="26" t="s">
        <v>1426</v>
      </c>
      <c r="J46" s="24" t="s">
        <v>2376</v>
      </c>
    </row>
    <row r="47" spans="1:10" ht="48" customHeight="1" x14ac:dyDescent="0.35">
      <c r="A47" s="28" t="s">
        <v>107</v>
      </c>
      <c r="B47" s="28" t="s">
        <v>486</v>
      </c>
      <c r="C47" s="27" t="s">
        <v>156</v>
      </c>
      <c r="D47" s="29">
        <v>9</v>
      </c>
      <c r="E47" s="27">
        <v>5</v>
      </c>
      <c r="F47" s="27">
        <v>23</v>
      </c>
      <c r="G47" s="28" t="s">
        <v>2397</v>
      </c>
      <c r="H47" s="27" t="s">
        <v>1425</v>
      </c>
      <c r="I47" s="33" t="s">
        <v>1426</v>
      </c>
      <c r="J47" s="32" t="s">
        <v>2376</v>
      </c>
    </row>
    <row r="48" spans="1:10" ht="48" customHeight="1" x14ac:dyDescent="0.35">
      <c r="A48" s="20" t="s">
        <v>107</v>
      </c>
      <c r="B48" s="20" t="s">
        <v>491</v>
      </c>
      <c r="C48" s="19" t="s">
        <v>156</v>
      </c>
      <c r="D48" s="21">
        <v>6</v>
      </c>
      <c r="E48" s="19">
        <v>3</v>
      </c>
      <c r="F48" s="19">
        <v>21</v>
      </c>
      <c r="G48" s="20" t="s">
        <v>2398</v>
      </c>
      <c r="H48" s="19" t="s">
        <v>1425</v>
      </c>
      <c r="I48" s="26" t="s">
        <v>1426</v>
      </c>
      <c r="J48" s="24" t="s">
        <v>2376</v>
      </c>
    </row>
    <row r="49" spans="1:10" ht="48" customHeight="1" x14ac:dyDescent="0.35">
      <c r="A49" s="28" t="s">
        <v>107</v>
      </c>
      <c r="B49" s="28" t="s">
        <v>479</v>
      </c>
      <c r="C49" s="27" t="s">
        <v>77</v>
      </c>
      <c r="D49" s="29">
        <v>17</v>
      </c>
      <c r="E49" s="27">
        <v>9</v>
      </c>
      <c r="F49" s="27">
        <v>40</v>
      </c>
      <c r="G49" s="28" t="s">
        <v>2399</v>
      </c>
      <c r="H49" s="27" t="s">
        <v>1429</v>
      </c>
      <c r="I49" s="33" t="s">
        <v>1430</v>
      </c>
      <c r="J49" s="32" t="s">
        <v>2376</v>
      </c>
    </row>
    <row r="50" spans="1:10" ht="48" customHeight="1" x14ac:dyDescent="0.35">
      <c r="A50" s="20" t="s">
        <v>107</v>
      </c>
      <c r="B50" s="20" t="s">
        <v>486</v>
      </c>
      <c r="C50" s="19" t="s">
        <v>77</v>
      </c>
      <c r="D50" s="21">
        <v>9</v>
      </c>
      <c r="E50" s="19">
        <v>7</v>
      </c>
      <c r="F50" s="19">
        <v>40</v>
      </c>
      <c r="G50" s="20" t="s">
        <v>2399</v>
      </c>
      <c r="H50" s="19" t="s">
        <v>1429</v>
      </c>
      <c r="I50" s="26" t="s">
        <v>1430</v>
      </c>
      <c r="J50" s="24" t="s">
        <v>2376</v>
      </c>
    </row>
    <row r="51" spans="1:10" ht="48" customHeight="1" x14ac:dyDescent="0.35">
      <c r="A51" s="28" t="s">
        <v>107</v>
      </c>
      <c r="B51" s="28" t="s">
        <v>491</v>
      </c>
      <c r="C51" s="27" t="s">
        <v>77</v>
      </c>
      <c r="D51" s="29">
        <v>4</v>
      </c>
      <c r="E51" s="27">
        <v>3</v>
      </c>
      <c r="F51" s="27">
        <v>15</v>
      </c>
      <c r="G51" s="28" t="s">
        <v>2400</v>
      </c>
      <c r="H51" s="27" t="s">
        <v>1429</v>
      </c>
      <c r="I51" s="33" t="s">
        <v>1430</v>
      </c>
      <c r="J51" s="32" t="s">
        <v>2376</v>
      </c>
    </row>
    <row r="52" spans="1:10" ht="48" customHeight="1" x14ac:dyDescent="0.35">
      <c r="A52" s="20" t="s">
        <v>107</v>
      </c>
      <c r="B52" s="20" t="s">
        <v>479</v>
      </c>
      <c r="C52" s="19" t="s">
        <v>208</v>
      </c>
      <c r="D52" s="21">
        <v>23</v>
      </c>
      <c r="E52" s="19">
        <v>7</v>
      </c>
      <c r="F52" s="19">
        <v>24</v>
      </c>
      <c r="G52" s="20" t="s">
        <v>2401</v>
      </c>
      <c r="H52" s="19" t="s">
        <v>1433</v>
      </c>
      <c r="I52" s="26" t="s">
        <v>1434</v>
      </c>
      <c r="J52" s="24" t="s">
        <v>2376</v>
      </c>
    </row>
    <row r="53" spans="1:10" ht="48" customHeight="1" x14ac:dyDescent="0.35">
      <c r="A53" s="28" t="s">
        <v>107</v>
      </c>
      <c r="B53" s="28" t="s">
        <v>486</v>
      </c>
      <c r="C53" s="27" t="s">
        <v>208</v>
      </c>
      <c r="D53" s="29">
        <v>7</v>
      </c>
      <c r="E53" s="27">
        <v>6</v>
      </c>
      <c r="F53" s="27">
        <v>24</v>
      </c>
      <c r="G53" s="28" t="s">
        <v>2401</v>
      </c>
      <c r="H53" s="27" t="s">
        <v>1433</v>
      </c>
      <c r="I53" s="33" t="s">
        <v>1434</v>
      </c>
      <c r="J53" s="32" t="s">
        <v>2376</v>
      </c>
    </row>
    <row r="54" spans="1:10" ht="48" customHeight="1" x14ac:dyDescent="0.35">
      <c r="A54" s="20" t="s">
        <v>107</v>
      </c>
      <c r="B54" s="20" t="s">
        <v>491</v>
      </c>
      <c r="C54" s="19" t="s">
        <v>208</v>
      </c>
      <c r="D54" s="21">
        <v>2</v>
      </c>
      <c r="E54" s="19">
        <v>1</v>
      </c>
      <c r="F54" s="19">
        <v>76</v>
      </c>
      <c r="G54" s="20" t="s">
        <v>2402</v>
      </c>
      <c r="H54" s="19" t="s">
        <v>1433</v>
      </c>
      <c r="I54" s="26" t="s">
        <v>1434</v>
      </c>
      <c r="J54" s="24" t="s">
        <v>2376</v>
      </c>
    </row>
    <row r="55" spans="1:10" ht="48" customHeight="1" x14ac:dyDescent="0.35">
      <c r="A55" s="28" t="s">
        <v>107</v>
      </c>
      <c r="B55" s="28" t="s">
        <v>479</v>
      </c>
      <c r="C55" s="27" t="s">
        <v>397</v>
      </c>
      <c r="D55" s="29">
        <v>15</v>
      </c>
      <c r="E55" s="27">
        <v>6</v>
      </c>
      <c r="F55" s="27">
        <v>24</v>
      </c>
      <c r="G55" s="28" t="s">
        <v>2403</v>
      </c>
      <c r="H55" s="27" t="s">
        <v>1437</v>
      </c>
      <c r="I55" s="33" t="s">
        <v>1438</v>
      </c>
      <c r="J55" s="32" t="s">
        <v>2376</v>
      </c>
    </row>
    <row r="56" spans="1:10" ht="48" customHeight="1" x14ac:dyDescent="0.35">
      <c r="A56" s="20" t="s">
        <v>107</v>
      </c>
      <c r="B56" s="20" t="s">
        <v>486</v>
      </c>
      <c r="C56" s="19" t="s">
        <v>397</v>
      </c>
      <c r="D56" s="21">
        <v>7</v>
      </c>
      <c r="E56" s="19">
        <v>6</v>
      </c>
      <c r="F56" s="19">
        <v>15</v>
      </c>
      <c r="G56" s="20" t="s">
        <v>2404</v>
      </c>
      <c r="H56" s="19" t="s">
        <v>1437</v>
      </c>
      <c r="I56" s="26" t="s">
        <v>1438</v>
      </c>
      <c r="J56" s="24" t="s">
        <v>2376</v>
      </c>
    </row>
    <row r="57" spans="1:10" ht="48" customHeight="1" x14ac:dyDescent="0.35">
      <c r="A57" s="28" t="s">
        <v>107</v>
      </c>
      <c r="B57" s="28" t="s">
        <v>491</v>
      </c>
      <c r="C57" s="27" t="s">
        <v>397</v>
      </c>
      <c r="D57" s="29">
        <v>2</v>
      </c>
      <c r="E57" s="27">
        <v>1</v>
      </c>
      <c r="F57" s="27">
        <v>81</v>
      </c>
      <c r="G57" s="28" t="s">
        <v>2402</v>
      </c>
      <c r="H57" s="27" t="s">
        <v>1437</v>
      </c>
      <c r="I57" s="33" t="s">
        <v>1438</v>
      </c>
      <c r="J57" s="32" t="s">
        <v>2376</v>
      </c>
    </row>
    <row r="58" spans="1:10" ht="48" customHeight="1" x14ac:dyDescent="0.35">
      <c r="A58" s="20" t="s">
        <v>172</v>
      </c>
      <c r="B58" s="20" t="s">
        <v>2405</v>
      </c>
      <c r="C58" s="19" t="s">
        <v>147</v>
      </c>
      <c r="D58" s="21">
        <v>0</v>
      </c>
      <c r="E58" s="19">
        <v>0</v>
      </c>
      <c r="F58" s="19"/>
      <c r="G58" s="20"/>
      <c r="H58" s="19" t="s">
        <v>1441</v>
      </c>
      <c r="I58" s="26" t="s">
        <v>393</v>
      </c>
      <c r="J58" s="24" t="s">
        <v>2376</v>
      </c>
    </row>
    <row r="59" spans="1:10" ht="48" customHeight="1" x14ac:dyDescent="0.35">
      <c r="A59" s="28" t="s">
        <v>172</v>
      </c>
      <c r="B59" s="28" t="s">
        <v>389</v>
      </c>
      <c r="C59" s="27" t="s">
        <v>147</v>
      </c>
      <c r="D59" s="29">
        <v>4</v>
      </c>
      <c r="E59" s="27">
        <v>4</v>
      </c>
      <c r="F59" s="27">
        <v>16</v>
      </c>
      <c r="G59" s="28" t="s">
        <v>2406</v>
      </c>
      <c r="H59" s="27" t="s">
        <v>1441</v>
      </c>
      <c r="I59" s="33" t="s">
        <v>393</v>
      </c>
      <c r="J59" s="32" t="s">
        <v>2376</v>
      </c>
    </row>
    <row r="60" spans="1:10" ht="48" customHeight="1" x14ac:dyDescent="0.35">
      <c r="A60" s="20" t="s">
        <v>172</v>
      </c>
      <c r="B60" s="20" t="s">
        <v>2405</v>
      </c>
      <c r="C60" s="19" t="s">
        <v>183</v>
      </c>
      <c r="D60" s="21">
        <v>8</v>
      </c>
      <c r="E60" s="19">
        <v>7</v>
      </c>
      <c r="F60" s="19">
        <v>16</v>
      </c>
      <c r="G60" s="20" t="s">
        <v>2407</v>
      </c>
      <c r="H60" s="19" t="s">
        <v>1444</v>
      </c>
      <c r="I60" s="26" t="s">
        <v>1445</v>
      </c>
      <c r="J60" s="24" t="s">
        <v>2376</v>
      </c>
    </row>
    <row r="61" spans="1:10" ht="48" customHeight="1" x14ac:dyDescent="0.35">
      <c r="A61" s="28" t="s">
        <v>172</v>
      </c>
      <c r="B61" s="28" t="s">
        <v>389</v>
      </c>
      <c r="C61" s="27" t="s">
        <v>183</v>
      </c>
      <c r="D61" s="29">
        <v>10</v>
      </c>
      <c r="E61" s="27">
        <v>6</v>
      </c>
      <c r="F61" s="27">
        <v>20</v>
      </c>
      <c r="G61" s="28" t="s">
        <v>2408</v>
      </c>
      <c r="H61" s="27" t="s">
        <v>1444</v>
      </c>
      <c r="I61" s="33" t="s">
        <v>1445</v>
      </c>
      <c r="J61" s="32" t="s">
        <v>2376</v>
      </c>
    </row>
    <row r="62" spans="1:10" ht="48" customHeight="1" x14ac:dyDescent="0.35">
      <c r="A62" s="20" t="s">
        <v>172</v>
      </c>
      <c r="B62" s="20" t="s">
        <v>2405</v>
      </c>
      <c r="C62" s="19" t="s">
        <v>89</v>
      </c>
      <c r="D62" s="21">
        <v>5</v>
      </c>
      <c r="E62" s="19">
        <v>4</v>
      </c>
      <c r="F62" s="19">
        <v>21</v>
      </c>
      <c r="G62" s="20" t="s">
        <v>2409</v>
      </c>
      <c r="H62" s="19" t="s">
        <v>1448</v>
      </c>
      <c r="I62" s="26" t="s">
        <v>1449</v>
      </c>
      <c r="J62" s="24" t="s">
        <v>2376</v>
      </c>
    </row>
    <row r="63" spans="1:10" ht="48" customHeight="1" x14ac:dyDescent="0.35">
      <c r="A63" s="28" t="s">
        <v>172</v>
      </c>
      <c r="B63" s="28" t="s">
        <v>389</v>
      </c>
      <c r="C63" s="27" t="s">
        <v>89</v>
      </c>
      <c r="D63" s="29">
        <v>0</v>
      </c>
      <c r="E63" s="27">
        <v>0</v>
      </c>
      <c r="F63" s="27"/>
      <c r="G63" s="28"/>
      <c r="H63" s="27" t="s">
        <v>1448</v>
      </c>
      <c r="I63" s="33" t="s">
        <v>1449</v>
      </c>
      <c r="J63" s="32" t="s">
        <v>2376</v>
      </c>
    </row>
    <row r="64" spans="1:10" ht="48" customHeight="1" x14ac:dyDescent="0.35">
      <c r="A64" s="20" t="s">
        <v>172</v>
      </c>
      <c r="B64" s="20" t="s">
        <v>2405</v>
      </c>
      <c r="C64" s="19" t="s">
        <v>156</v>
      </c>
      <c r="D64" s="21">
        <v>1</v>
      </c>
      <c r="E64" s="19">
        <v>1</v>
      </c>
      <c r="F64" s="19">
        <v>52</v>
      </c>
      <c r="G64" s="20" t="s">
        <v>2410</v>
      </c>
      <c r="H64" s="19" t="s">
        <v>1452</v>
      </c>
      <c r="I64" s="26" t="s">
        <v>1453</v>
      </c>
      <c r="J64" s="24" t="s">
        <v>2376</v>
      </c>
    </row>
    <row r="65" spans="1:10" ht="48" customHeight="1" x14ac:dyDescent="0.35">
      <c r="A65" s="28" t="s">
        <v>172</v>
      </c>
      <c r="B65" s="28" t="s">
        <v>389</v>
      </c>
      <c r="C65" s="27" t="s">
        <v>156</v>
      </c>
      <c r="D65" s="29">
        <v>0</v>
      </c>
      <c r="E65" s="27">
        <v>0</v>
      </c>
      <c r="F65" s="27"/>
      <c r="G65" s="28"/>
      <c r="H65" s="27" t="s">
        <v>1452</v>
      </c>
      <c r="I65" s="33" t="s">
        <v>1453</v>
      </c>
      <c r="J65" s="32" t="s">
        <v>2376</v>
      </c>
    </row>
    <row r="66" spans="1:10" ht="48" customHeight="1" x14ac:dyDescent="0.35">
      <c r="A66" s="20" t="s">
        <v>172</v>
      </c>
      <c r="B66" s="20" t="s">
        <v>2405</v>
      </c>
      <c r="C66" s="19" t="s">
        <v>77</v>
      </c>
      <c r="D66" s="21">
        <v>1</v>
      </c>
      <c r="E66" s="19">
        <v>1</v>
      </c>
      <c r="F66" s="19">
        <v>21</v>
      </c>
      <c r="G66" s="20" t="s">
        <v>2411</v>
      </c>
      <c r="H66" s="19" t="s">
        <v>1456</v>
      </c>
      <c r="I66" s="26" t="s">
        <v>1457</v>
      </c>
      <c r="J66" s="24" t="s">
        <v>2376</v>
      </c>
    </row>
    <row r="67" spans="1:10" ht="48" customHeight="1" x14ac:dyDescent="0.35">
      <c r="A67" s="28" t="s">
        <v>172</v>
      </c>
      <c r="B67" s="28" t="s">
        <v>389</v>
      </c>
      <c r="C67" s="27" t="s">
        <v>77</v>
      </c>
      <c r="D67" s="29">
        <v>0</v>
      </c>
      <c r="E67" s="27">
        <v>0</v>
      </c>
      <c r="F67" s="27"/>
      <c r="G67" s="28"/>
      <c r="H67" s="27" t="s">
        <v>1456</v>
      </c>
      <c r="I67" s="33" t="s">
        <v>1457</v>
      </c>
      <c r="J67" s="32" t="s">
        <v>2376</v>
      </c>
    </row>
    <row r="68" spans="1:10" ht="48" customHeight="1" x14ac:dyDescent="0.35">
      <c r="A68" s="20" t="s">
        <v>172</v>
      </c>
      <c r="B68" s="20" t="s">
        <v>2405</v>
      </c>
      <c r="C68" s="19" t="s">
        <v>208</v>
      </c>
      <c r="D68" s="21">
        <v>0</v>
      </c>
      <c r="E68" s="19">
        <v>0</v>
      </c>
      <c r="F68" s="19"/>
      <c r="G68" s="20"/>
      <c r="H68" s="19" t="s">
        <v>1460</v>
      </c>
      <c r="I68" s="26" t="s">
        <v>1461</v>
      </c>
      <c r="J68" s="24" t="s">
        <v>2376</v>
      </c>
    </row>
    <row r="69" spans="1:10" ht="48" customHeight="1" x14ac:dyDescent="0.35">
      <c r="A69" s="28" t="s">
        <v>172</v>
      </c>
      <c r="B69" s="28" t="s">
        <v>389</v>
      </c>
      <c r="C69" s="27" t="s">
        <v>208</v>
      </c>
      <c r="D69" s="29">
        <v>0</v>
      </c>
      <c r="E69" s="27">
        <v>0</v>
      </c>
      <c r="F69" s="27"/>
      <c r="G69" s="28"/>
      <c r="H69" s="27" t="s">
        <v>1460</v>
      </c>
      <c r="I69" s="33" t="s">
        <v>1461</v>
      </c>
      <c r="J69" s="32" t="s">
        <v>2376</v>
      </c>
    </row>
    <row r="70" spans="1:10" ht="48" customHeight="1" x14ac:dyDescent="0.35">
      <c r="A70" s="20" t="s">
        <v>172</v>
      </c>
      <c r="B70" s="20" t="s">
        <v>2405</v>
      </c>
      <c r="C70" s="19" t="s">
        <v>397</v>
      </c>
      <c r="D70" s="21">
        <v>0</v>
      </c>
      <c r="E70" s="19">
        <v>0</v>
      </c>
      <c r="F70" s="19"/>
      <c r="G70" s="20"/>
      <c r="H70" s="19" t="s">
        <v>1464</v>
      </c>
      <c r="I70" s="26" t="s">
        <v>1465</v>
      </c>
      <c r="J70" s="24" t="s">
        <v>2376</v>
      </c>
    </row>
    <row r="71" spans="1:10" ht="48" customHeight="1" x14ac:dyDescent="0.35">
      <c r="A71" s="28" t="s">
        <v>172</v>
      </c>
      <c r="B71" s="28" t="s">
        <v>389</v>
      </c>
      <c r="C71" s="27" t="s">
        <v>397</v>
      </c>
      <c r="D71" s="29">
        <v>0</v>
      </c>
      <c r="E71" s="27">
        <v>0</v>
      </c>
      <c r="F71" s="27"/>
      <c r="G71" s="28"/>
      <c r="H71" s="27" t="s">
        <v>1464</v>
      </c>
      <c r="I71" s="33" t="s">
        <v>1465</v>
      </c>
      <c r="J71" s="32" t="s">
        <v>2376</v>
      </c>
    </row>
    <row r="72" spans="1:10" ht="48" customHeight="1" x14ac:dyDescent="0.35">
      <c r="A72" s="20" t="s">
        <v>145</v>
      </c>
      <c r="B72" s="20" t="s">
        <v>1950</v>
      </c>
      <c r="C72" s="19" t="s">
        <v>147</v>
      </c>
      <c r="D72" s="21">
        <v>28</v>
      </c>
      <c r="E72" s="19">
        <v>12</v>
      </c>
      <c r="F72" s="19">
        <v>5</v>
      </c>
      <c r="G72" s="20" t="s">
        <v>2412</v>
      </c>
      <c r="H72" s="19" t="s">
        <v>1468</v>
      </c>
      <c r="I72" s="26" t="s">
        <v>464</v>
      </c>
      <c r="J72" s="24" t="s">
        <v>2376</v>
      </c>
    </row>
    <row r="73" spans="1:10" ht="48" customHeight="1" x14ac:dyDescent="0.35">
      <c r="A73" s="28" t="s">
        <v>145</v>
      </c>
      <c r="B73" s="28" t="s">
        <v>450</v>
      </c>
      <c r="C73" s="27" t="s">
        <v>147</v>
      </c>
      <c r="D73" s="29">
        <v>0</v>
      </c>
      <c r="E73" s="27">
        <v>0</v>
      </c>
      <c r="F73" s="27"/>
      <c r="G73" s="28"/>
      <c r="H73" s="27" t="s">
        <v>1468</v>
      </c>
      <c r="I73" s="33" t="s">
        <v>464</v>
      </c>
      <c r="J73" s="32" t="s">
        <v>2376</v>
      </c>
    </row>
    <row r="74" spans="1:10" ht="48" customHeight="1" x14ac:dyDescent="0.35">
      <c r="A74" s="20" t="s">
        <v>145</v>
      </c>
      <c r="B74" s="20" t="s">
        <v>456</v>
      </c>
      <c r="C74" s="19" t="s">
        <v>147</v>
      </c>
      <c r="D74" s="21">
        <v>0</v>
      </c>
      <c r="E74" s="19">
        <v>0</v>
      </c>
      <c r="F74" s="19"/>
      <c r="G74" s="20"/>
      <c r="H74" s="19" t="s">
        <v>1468</v>
      </c>
      <c r="I74" s="26" t="s">
        <v>464</v>
      </c>
      <c r="J74" s="24" t="s">
        <v>2376</v>
      </c>
    </row>
    <row r="75" spans="1:10" ht="48" customHeight="1" x14ac:dyDescent="0.35">
      <c r="A75" s="28" t="s">
        <v>145</v>
      </c>
      <c r="B75" s="28" t="s">
        <v>1950</v>
      </c>
      <c r="C75" s="27" t="s">
        <v>183</v>
      </c>
      <c r="D75" s="29">
        <v>45</v>
      </c>
      <c r="E75" s="27">
        <v>16</v>
      </c>
      <c r="F75" s="27">
        <v>6</v>
      </c>
      <c r="G75" s="28" t="s">
        <v>2413</v>
      </c>
      <c r="H75" s="27" t="s">
        <v>1471</v>
      </c>
      <c r="I75" s="33" t="s">
        <v>1472</v>
      </c>
      <c r="J75" s="32" t="s">
        <v>2376</v>
      </c>
    </row>
    <row r="76" spans="1:10" ht="48" customHeight="1" x14ac:dyDescent="0.35">
      <c r="A76" s="20" t="s">
        <v>145</v>
      </c>
      <c r="B76" s="20" t="s">
        <v>450</v>
      </c>
      <c r="C76" s="19" t="s">
        <v>183</v>
      </c>
      <c r="D76" s="21">
        <v>0</v>
      </c>
      <c r="E76" s="19">
        <v>0</v>
      </c>
      <c r="F76" s="19"/>
      <c r="G76" s="20"/>
      <c r="H76" s="19" t="s">
        <v>1471</v>
      </c>
      <c r="I76" s="26" t="s">
        <v>1472</v>
      </c>
      <c r="J76" s="24" t="s">
        <v>2376</v>
      </c>
    </row>
    <row r="77" spans="1:10" ht="48" customHeight="1" x14ac:dyDescent="0.35">
      <c r="A77" s="28" t="s">
        <v>145</v>
      </c>
      <c r="B77" s="28" t="s">
        <v>456</v>
      </c>
      <c r="C77" s="27" t="s">
        <v>183</v>
      </c>
      <c r="D77" s="29">
        <v>0</v>
      </c>
      <c r="E77" s="27">
        <v>0</v>
      </c>
      <c r="F77" s="27"/>
      <c r="G77" s="28"/>
      <c r="H77" s="27" t="s">
        <v>1471</v>
      </c>
      <c r="I77" s="33" t="s">
        <v>1472</v>
      </c>
      <c r="J77" s="32" t="s">
        <v>2376</v>
      </c>
    </row>
    <row r="78" spans="1:10" ht="48" customHeight="1" x14ac:dyDescent="0.35">
      <c r="A78" s="20" t="s">
        <v>145</v>
      </c>
      <c r="B78" s="20" t="s">
        <v>1950</v>
      </c>
      <c r="C78" s="19" t="s">
        <v>89</v>
      </c>
      <c r="D78" s="21">
        <v>47</v>
      </c>
      <c r="E78" s="19">
        <v>22</v>
      </c>
      <c r="F78" s="19">
        <v>8</v>
      </c>
      <c r="G78" s="20" t="s">
        <v>2414</v>
      </c>
      <c r="H78" s="19" t="s">
        <v>1475</v>
      </c>
      <c r="I78" s="26" t="s">
        <v>1476</v>
      </c>
      <c r="J78" s="24" t="s">
        <v>2376</v>
      </c>
    </row>
    <row r="79" spans="1:10" ht="48" customHeight="1" x14ac:dyDescent="0.35">
      <c r="A79" s="28" t="s">
        <v>145</v>
      </c>
      <c r="B79" s="28" t="s">
        <v>450</v>
      </c>
      <c r="C79" s="27" t="s">
        <v>89</v>
      </c>
      <c r="D79" s="29">
        <v>0</v>
      </c>
      <c r="E79" s="27">
        <v>0</v>
      </c>
      <c r="F79" s="27"/>
      <c r="G79" s="28"/>
      <c r="H79" s="27" t="s">
        <v>1475</v>
      </c>
      <c r="I79" s="33" t="s">
        <v>1476</v>
      </c>
      <c r="J79" s="32" t="s">
        <v>2376</v>
      </c>
    </row>
    <row r="80" spans="1:10" ht="48" customHeight="1" x14ac:dyDescent="0.35">
      <c r="A80" s="20" t="s">
        <v>145</v>
      </c>
      <c r="B80" s="20" t="s">
        <v>456</v>
      </c>
      <c r="C80" s="19" t="s">
        <v>89</v>
      </c>
      <c r="D80" s="21">
        <v>0</v>
      </c>
      <c r="E80" s="19">
        <v>0</v>
      </c>
      <c r="F80" s="19"/>
      <c r="G80" s="20"/>
      <c r="H80" s="19" t="s">
        <v>1475</v>
      </c>
      <c r="I80" s="26" t="s">
        <v>1476</v>
      </c>
      <c r="J80" s="24" t="s">
        <v>2376</v>
      </c>
    </row>
    <row r="81" spans="1:10" ht="48" customHeight="1" x14ac:dyDescent="0.35">
      <c r="A81" s="28" t="s">
        <v>145</v>
      </c>
      <c r="B81" s="28" t="s">
        <v>1950</v>
      </c>
      <c r="C81" s="27" t="s">
        <v>156</v>
      </c>
      <c r="D81" s="29">
        <v>78</v>
      </c>
      <c r="E81" s="27">
        <v>32</v>
      </c>
      <c r="F81" s="27">
        <v>4</v>
      </c>
      <c r="G81" s="28" t="s">
        <v>2415</v>
      </c>
      <c r="H81" s="27" t="s">
        <v>1479</v>
      </c>
      <c r="I81" s="33" t="s">
        <v>453</v>
      </c>
      <c r="J81" s="32" t="s">
        <v>2376</v>
      </c>
    </row>
    <row r="82" spans="1:10" ht="48" customHeight="1" x14ac:dyDescent="0.35">
      <c r="A82" s="20" t="s">
        <v>145</v>
      </c>
      <c r="B82" s="20" t="s">
        <v>450</v>
      </c>
      <c r="C82" s="19" t="s">
        <v>156</v>
      </c>
      <c r="D82" s="21">
        <v>17</v>
      </c>
      <c r="E82" s="19">
        <v>13</v>
      </c>
      <c r="F82" s="19">
        <v>3</v>
      </c>
      <c r="G82" s="20" t="s">
        <v>2416</v>
      </c>
      <c r="H82" s="19" t="s">
        <v>1479</v>
      </c>
      <c r="I82" s="26" t="s">
        <v>453</v>
      </c>
      <c r="J82" s="24" t="s">
        <v>2376</v>
      </c>
    </row>
    <row r="83" spans="1:10" ht="48" customHeight="1" x14ac:dyDescent="0.35">
      <c r="A83" s="28" t="s">
        <v>145</v>
      </c>
      <c r="B83" s="28" t="s">
        <v>456</v>
      </c>
      <c r="C83" s="27" t="s">
        <v>156</v>
      </c>
      <c r="D83" s="29">
        <v>18</v>
      </c>
      <c r="E83" s="27">
        <v>13</v>
      </c>
      <c r="F83" s="27">
        <v>3</v>
      </c>
      <c r="G83" s="28" t="s">
        <v>2416</v>
      </c>
      <c r="H83" s="27" t="s">
        <v>1479</v>
      </c>
      <c r="I83" s="33" t="s">
        <v>453</v>
      </c>
      <c r="J83" s="32" t="s">
        <v>2376</v>
      </c>
    </row>
    <row r="84" spans="1:10" ht="48" customHeight="1" x14ac:dyDescent="0.35">
      <c r="A84" s="20" t="s">
        <v>145</v>
      </c>
      <c r="B84" s="20" t="s">
        <v>1950</v>
      </c>
      <c r="C84" s="19" t="s">
        <v>77</v>
      </c>
      <c r="D84" s="21">
        <v>62</v>
      </c>
      <c r="E84" s="19">
        <v>28</v>
      </c>
      <c r="F84" s="19">
        <v>7</v>
      </c>
      <c r="G84" s="20" t="s">
        <v>2417</v>
      </c>
      <c r="H84" s="19" t="s">
        <v>1482</v>
      </c>
      <c r="I84" s="26" t="s">
        <v>1483</v>
      </c>
      <c r="J84" s="24" t="s">
        <v>2376</v>
      </c>
    </row>
    <row r="85" spans="1:10" ht="48" customHeight="1" x14ac:dyDescent="0.35">
      <c r="A85" s="28" t="s">
        <v>145</v>
      </c>
      <c r="B85" s="28" t="s">
        <v>450</v>
      </c>
      <c r="C85" s="27" t="s">
        <v>77</v>
      </c>
      <c r="D85" s="29">
        <v>11</v>
      </c>
      <c r="E85" s="27">
        <v>9</v>
      </c>
      <c r="F85" s="27">
        <v>15</v>
      </c>
      <c r="G85" s="28" t="s">
        <v>2418</v>
      </c>
      <c r="H85" s="27" t="s">
        <v>1482</v>
      </c>
      <c r="I85" s="33" t="s">
        <v>1483</v>
      </c>
      <c r="J85" s="32" t="s">
        <v>2376</v>
      </c>
    </row>
    <row r="86" spans="1:10" ht="48" customHeight="1" x14ac:dyDescent="0.35">
      <c r="A86" s="20" t="s">
        <v>145</v>
      </c>
      <c r="B86" s="20" t="s">
        <v>456</v>
      </c>
      <c r="C86" s="19" t="s">
        <v>77</v>
      </c>
      <c r="D86" s="21">
        <v>13</v>
      </c>
      <c r="E86" s="19">
        <v>7</v>
      </c>
      <c r="F86" s="19">
        <v>15</v>
      </c>
      <c r="G86" s="20" t="s">
        <v>2419</v>
      </c>
      <c r="H86" s="19" t="s">
        <v>1482</v>
      </c>
      <c r="I86" s="26" t="s">
        <v>1483</v>
      </c>
      <c r="J86" s="24" t="s">
        <v>2376</v>
      </c>
    </row>
    <row r="87" spans="1:10" ht="48" customHeight="1" x14ac:dyDescent="0.35">
      <c r="A87" s="28" t="s">
        <v>145</v>
      </c>
      <c r="B87" s="28" t="s">
        <v>1950</v>
      </c>
      <c r="C87" s="27" t="s">
        <v>208</v>
      </c>
      <c r="D87" s="29">
        <v>124</v>
      </c>
      <c r="E87" s="27">
        <v>26</v>
      </c>
      <c r="F87" s="27">
        <v>2</v>
      </c>
      <c r="G87" s="28" t="s">
        <v>2420</v>
      </c>
      <c r="H87" s="27" t="s">
        <v>1486</v>
      </c>
      <c r="I87" s="33" t="s">
        <v>1487</v>
      </c>
      <c r="J87" s="32" t="s">
        <v>2376</v>
      </c>
    </row>
    <row r="88" spans="1:10" ht="48" customHeight="1" x14ac:dyDescent="0.35">
      <c r="A88" s="20" t="s">
        <v>145</v>
      </c>
      <c r="B88" s="20" t="s">
        <v>450</v>
      </c>
      <c r="C88" s="19" t="s">
        <v>208</v>
      </c>
      <c r="D88" s="21">
        <v>26</v>
      </c>
      <c r="E88" s="19">
        <v>9</v>
      </c>
      <c r="F88" s="19">
        <v>2</v>
      </c>
      <c r="G88" s="20" t="s">
        <v>2421</v>
      </c>
      <c r="H88" s="19" t="s">
        <v>1486</v>
      </c>
      <c r="I88" s="26" t="s">
        <v>1487</v>
      </c>
      <c r="J88" s="24" t="s">
        <v>2376</v>
      </c>
    </row>
    <row r="89" spans="1:10" ht="48" customHeight="1" x14ac:dyDescent="0.35">
      <c r="A89" s="28" t="s">
        <v>145</v>
      </c>
      <c r="B89" s="28" t="s">
        <v>456</v>
      </c>
      <c r="C89" s="27" t="s">
        <v>208</v>
      </c>
      <c r="D89" s="29">
        <v>15</v>
      </c>
      <c r="E89" s="27">
        <v>2</v>
      </c>
      <c r="F89" s="27">
        <v>2</v>
      </c>
      <c r="G89" s="28" t="s">
        <v>2422</v>
      </c>
      <c r="H89" s="27" t="s">
        <v>1486</v>
      </c>
      <c r="I89" s="33" t="s">
        <v>1487</v>
      </c>
      <c r="J89" s="32" t="s">
        <v>2376</v>
      </c>
    </row>
    <row r="90" spans="1:10" ht="48" customHeight="1" x14ac:dyDescent="0.35">
      <c r="A90" s="20" t="s">
        <v>145</v>
      </c>
      <c r="B90" s="20" t="s">
        <v>1950</v>
      </c>
      <c r="C90" s="19" t="s">
        <v>397</v>
      </c>
      <c r="D90" s="21">
        <v>33</v>
      </c>
      <c r="E90" s="19">
        <v>15</v>
      </c>
      <c r="F90" s="19">
        <v>15</v>
      </c>
      <c r="G90" s="20" t="s">
        <v>2423</v>
      </c>
      <c r="H90" s="19" t="s">
        <v>1490</v>
      </c>
      <c r="I90" s="26" t="s">
        <v>1491</v>
      </c>
      <c r="J90" s="24" t="s">
        <v>2376</v>
      </c>
    </row>
    <row r="91" spans="1:10" ht="48" customHeight="1" x14ac:dyDescent="0.35">
      <c r="A91" s="28" t="s">
        <v>145</v>
      </c>
      <c r="B91" s="28" t="s">
        <v>450</v>
      </c>
      <c r="C91" s="27" t="s">
        <v>397</v>
      </c>
      <c r="D91" s="29">
        <v>11</v>
      </c>
      <c r="E91" s="27">
        <v>7</v>
      </c>
      <c r="F91" s="27">
        <v>15</v>
      </c>
      <c r="G91" s="28" t="s">
        <v>2424</v>
      </c>
      <c r="H91" s="27" t="s">
        <v>1490</v>
      </c>
      <c r="I91" s="33" t="s">
        <v>1491</v>
      </c>
      <c r="J91" s="32" t="s">
        <v>2376</v>
      </c>
    </row>
    <row r="92" spans="1:10" ht="48" customHeight="1" x14ac:dyDescent="0.35">
      <c r="A92" s="20" t="s">
        <v>145</v>
      </c>
      <c r="B92" s="20" t="s">
        <v>456</v>
      </c>
      <c r="C92" s="19" t="s">
        <v>397</v>
      </c>
      <c r="D92" s="21">
        <v>0</v>
      </c>
      <c r="E92" s="19">
        <v>0</v>
      </c>
      <c r="F92" s="19"/>
      <c r="G92" s="20"/>
      <c r="H92" s="19" t="s">
        <v>1490</v>
      </c>
      <c r="I92" s="26" t="s">
        <v>1491</v>
      </c>
      <c r="J92" s="24" t="s">
        <v>2376</v>
      </c>
    </row>
    <row r="93" spans="1:10" ht="48" customHeight="1" x14ac:dyDescent="0.35">
      <c r="A93" s="28" t="s">
        <v>241</v>
      </c>
      <c r="B93" s="28" t="s">
        <v>2425</v>
      </c>
      <c r="C93" s="27" t="s">
        <v>147</v>
      </c>
      <c r="D93" s="29">
        <v>0</v>
      </c>
      <c r="E93" s="27">
        <v>0</v>
      </c>
      <c r="F93" s="27"/>
      <c r="G93" s="28"/>
      <c r="H93" s="27" t="s">
        <v>1494</v>
      </c>
      <c r="I93" s="33" t="s">
        <v>1495</v>
      </c>
      <c r="J93" s="32" t="s">
        <v>2376</v>
      </c>
    </row>
    <row r="94" spans="1:10" ht="48" customHeight="1" x14ac:dyDescent="0.35">
      <c r="A94" s="20" t="s">
        <v>241</v>
      </c>
      <c r="B94" s="20" t="s">
        <v>438</v>
      </c>
      <c r="C94" s="19" t="s">
        <v>147</v>
      </c>
      <c r="D94" s="21">
        <v>6</v>
      </c>
      <c r="E94" s="19">
        <v>5</v>
      </c>
      <c r="F94" s="19">
        <v>28</v>
      </c>
      <c r="G94" s="20" t="s">
        <v>2426</v>
      </c>
      <c r="H94" s="19" t="s">
        <v>1494</v>
      </c>
      <c r="I94" s="26" t="s">
        <v>1495</v>
      </c>
      <c r="J94" s="24" t="s">
        <v>2376</v>
      </c>
    </row>
    <row r="95" spans="1:10" ht="48" customHeight="1" x14ac:dyDescent="0.35">
      <c r="A95" s="28" t="s">
        <v>241</v>
      </c>
      <c r="B95" s="28" t="s">
        <v>1931</v>
      </c>
      <c r="C95" s="27" t="s">
        <v>147</v>
      </c>
      <c r="D95" s="29">
        <v>0</v>
      </c>
      <c r="E95" s="27">
        <v>0</v>
      </c>
      <c r="F95" s="27"/>
      <c r="G95" s="28"/>
      <c r="H95" s="27" t="s">
        <v>1494</v>
      </c>
      <c r="I95" s="33" t="s">
        <v>1495</v>
      </c>
      <c r="J95" s="32" t="s">
        <v>2376</v>
      </c>
    </row>
    <row r="96" spans="1:10" ht="48" customHeight="1" x14ac:dyDescent="0.35">
      <c r="A96" s="20" t="s">
        <v>241</v>
      </c>
      <c r="B96" s="20" t="s">
        <v>2425</v>
      </c>
      <c r="C96" s="19" t="s">
        <v>183</v>
      </c>
      <c r="D96" s="21">
        <v>0</v>
      </c>
      <c r="E96" s="19">
        <v>0</v>
      </c>
      <c r="F96" s="19"/>
      <c r="G96" s="20"/>
      <c r="H96" s="19" t="s">
        <v>1498</v>
      </c>
      <c r="I96" s="26" t="s">
        <v>1499</v>
      </c>
      <c r="J96" s="24" t="s">
        <v>2376</v>
      </c>
    </row>
    <row r="97" spans="1:10" ht="48" customHeight="1" x14ac:dyDescent="0.35">
      <c r="A97" s="28" t="s">
        <v>241</v>
      </c>
      <c r="B97" s="28" t="s">
        <v>438</v>
      </c>
      <c r="C97" s="27" t="s">
        <v>183</v>
      </c>
      <c r="D97" s="29">
        <v>13</v>
      </c>
      <c r="E97" s="27">
        <v>11</v>
      </c>
      <c r="F97" s="27">
        <v>32</v>
      </c>
      <c r="G97" s="28" t="s">
        <v>2427</v>
      </c>
      <c r="H97" s="27" t="s">
        <v>1498</v>
      </c>
      <c r="I97" s="33" t="s">
        <v>1499</v>
      </c>
      <c r="J97" s="32" t="s">
        <v>2376</v>
      </c>
    </row>
    <row r="98" spans="1:10" ht="48" customHeight="1" x14ac:dyDescent="0.35">
      <c r="A98" s="20" t="s">
        <v>241</v>
      </c>
      <c r="B98" s="20" t="s">
        <v>1931</v>
      </c>
      <c r="C98" s="19" t="s">
        <v>183</v>
      </c>
      <c r="D98" s="21">
        <v>0</v>
      </c>
      <c r="E98" s="19">
        <v>0</v>
      </c>
      <c r="F98" s="19"/>
      <c r="G98" s="20"/>
      <c r="H98" s="19" t="s">
        <v>1498</v>
      </c>
      <c r="I98" s="26" t="s">
        <v>1499</v>
      </c>
      <c r="J98" s="24" t="s">
        <v>2376</v>
      </c>
    </row>
    <row r="99" spans="1:10" ht="48" customHeight="1" x14ac:dyDescent="0.35">
      <c r="A99" s="28" t="s">
        <v>241</v>
      </c>
      <c r="B99" s="28" t="s">
        <v>2425</v>
      </c>
      <c r="C99" s="27" t="s">
        <v>89</v>
      </c>
      <c r="D99" s="29">
        <v>0</v>
      </c>
      <c r="E99" s="27">
        <v>0</v>
      </c>
      <c r="F99" s="27"/>
      <c r="G99" s="28"/>
      <c r="H99" s="27" t="s">
        <v>1502</v>
      </c>
      <c r="I99" s="33" t="s">
        <v>1503</v>
      </c>
      <c r="J99" s="32" t="s">
        <v>2376</v>
      </c>
    </row>
    <row r="100" spans="1:10" ht="48" customHeight="1" x14ac:dyDescent="0.35">
      <c r="A100" s="20" t="s">
        <v>241</v>
      </c>
      <c r="B100" s="20" t="s">
        <v>438</v>
      </c>
      <c r="C100" s="19" t="s">
        <v>89</v>
      </c>
      <c r="D100" s="21">
        <v>1</v>
      </c>
      <c r="E100" s="19">
        <v>1</v>
      </c>
      <c r="F100" s="19">
        <v>81</v>
      </c>
      <c r="G100" s="20" t="s">
        <v>2428</v>
      </c>
      <c r="H100" s="19" t="s">
        <v>1502</v>
      </c>
      <c r="I100" s="26" t="s">
        <v>1503</v>
      </c>
      <c r="J100" s="24" t="s">
        <v>2376</v>
      </c>
    </row>
    <row r="101" spans="1:10" ht="48" customHeight="1" x14ac:dyDescent="0.35">
      <c r="A101" s="28" t="s">
        <v>241</v>
      </c>
      <c r="B101" s="28" t="s">
        <v>1931</v>
      </c>
      <c r="C101" s="27" t="s">
        <v>89</v>
      </c>
      <c r="D101" s="29">
        <v>0</v>
      </c>
      <c r="E101" s="27">
        <v>0</v>
      </c>
      <c r="F101" s="27"/>
      <c r="G101" s="28"/>
      <c r="H101" s="27" t="s">
        <v>1502</v>
      </c>
      <c r="I101" s="33" t="s">
        <v>1503</v>
      </c>
      <c r="J101" s="32" t="s">
        <v>2376</v>
      </c>
    </row>
    <row r="102" spans="1:10" ht="48" customHeight="1" x14ac:dyDescent="0.35">
      <c r="A102" s="20" t="s">
        <v>241</v>
      </c>
      <c r="B102" s="20" t="s">
        <v>2425</v>
      </c>
      <c r="C102" s="19" t="s">
        <v>156</v>
      </c>
      <c r="D102" s="21">
        <v>0</v>
      </c>
      <c r="E102" s="19">
        <v>0</v>
      </c>
      <c r="F102" s="19"/>
      <c r="G102" s="20"/>
      <c r="H102" s="19" t="s">
        <v>1506</v>
      </c>
      <c r="I102" s="26" t="s">
        <v>1507</v>
      </c>
      <c r="J102" s="24" t="s">
        <v>2376</v>
      </c>
    </row>
    <row r="103" spans="1:10" ht="48" customHeight="1" x14ac:dyDescent="0.35">
      <c r="A103" s="28" t="s">
        <v>241</v>
      </c>
      <c r="B103" s="28" t="s">
        <v>438</v>
      </c>
      <c r="C103" s="27" t="s">
        <v>156</v>
      </c>
      <c r="D103" s="29">
        <v>0</v>
      </c>
      <c r="E103" s="27">
        <v>0</v>
      </c>
      <c r="F103" s="27"/>
      <c r="G103" s="28"/>
      <c r="H103" s="27" t="s">
        <v>1506</v>
      </c>
      <c r="I103" s="33" t="s">
        <v>1507</v>
      </c>
      <c r="J103" s="32" t="s">
        <v>2376</v>
      </c>
    </row>
    <row r="104" spans="1:10" ht="48" customHeight="1" x14ac:dyDescent="0.35">
      <c r="A104" s="20" t="s">
        <v>241</v>
      </c>
      <c r="B104" s="20" t="s">
        <v>1931</v>
      </c>
      <c r="C104" s="19" t="s">
        <v>156</v>
      </c>
      <c r="D104" s="21">
        <v>0</v>
      </c>
      <c r="E104" s="19">
        <v>0</v>
      </c>
      <c r="F104" s="19"/>
      <c r="G104" s="20"/>
      <c r="H104" s="19" t="s">
        <v>1506</v>
      </c>
      <c r="I104" s="26" t="s">
        <v>1507</v>
      </c>
      <c r="J104" s="24" t="s">
        <v>2376</v>
      </c>
    </row>
    <row r="105" spans="1:10" ht="48" customHeight="1" x14ac:dyDescent="0.35">
      <c r="A105" s="28" t="s">
        <v>241</v>
      </c>
      <c r="B105" s="28" t="s">
        <v>2425</v>
      </c>
      <c r="C105" s="27" t="s">
        <v>77</v>
      </c>
      <c r="D105" s="29">
        <v>0</v>
      </c>
      <c r="E105" s="27">
        <v>0</v>
      </c>
      <c r="F105" s="27"/>
      <c r="G105" s="28"/>
      <c r="H105" s="27" t="s">
        <v>1510</v>
      </c>
      <c r="I105" s="33" t="s">
        <v>1511</v>
      </c>
      <c r="J105" s="32" t="s">
        <v>2376</v>
      </c>
    </row>
    <row r="106" spans="1:10" ht="48" customHeight="1" x14ac:dyDescent="0.35">
      <c r="A106" s="20" t="s">
        <v>241</v>
      </c>
      <c r="B106" s="20" t="s">
        <v>438</v>
      </c>
      <c r="C106" s="19" t="s">
        <v>77</v>
      </c>
      <c r="D106" s="21">
        <v>0</v>
      </c>
      <c r="E106" s="19">
        <v>0</v>
      </c>
      <c r="F106" s="19"/>
      <c r="G106" s="20"/>
      <c r="H106" s="19" t="s">
        <v>1510</v>
      </c>
      <c r="I106" s="26" t="s">
        <v>1511</v>
      </c>
      <c r="J106" s="24" t="s">
        <v>2376</v>
      </c>
    </row>
    <row r="107" spans="1:10" ht="48" customHeight="1" x14ac:dyDescent="0.35">
      <c r="A107" s="28" t="s">
        <v>241</v>
      </c>
      <c r="B107" s="28" t="s">
        <v>1931</v>
      </c>
      <c r="C107" s="27" t="s">
        <v>77</v>
      </c>
      <c r="D107" s="29">
        <v>5</v>
      </c>
      <c r="E107" s="27">
        <v>5</v>
      </c>
      <c r="F107" s="27">
        <v>2</v>
      </c>
      <c r="G107" s="28" t="s">
        <v>2429</v>
      </c>
      <c r="H107" s="27" t="s">
        <v>1510</v>
      </c>
      <c r="I107" s="33" t="s">
        <v>1511</v>
      </c>
      <c r="J107" s="32" t="s">
        <v>2376</v>
      </c>
    </row>
    <row r="108" spans="1:10" ht="48" customHeight="1" x14ac:dyDescent="0.35">
      <c r="A108" s="20" t="s">
        <v>241</v>
      </c>
      <c r="B108" s="20" t="s">
        <v>2425</v>
      </c>
      <c r="C108" s="19" t="s">
        <v>208</v>
      </c>
      <c r="D108" s="21">
        <v>24</v>
      </c>
      <c r="E108" s="19">
        <v>14</v>
      </c>
      <c r="F108" s="19">
        <v>38</v>
      </c>
      <c r="G108" s="20" t="s">
        <v>2430</v>
      </c>
      <c r="H108" s="19" t="s">
        <v>1514</v>
      </c>
      <c r="I108" s="26" t="s">
        <v>1515</v>
      </c>
      <c r="J108" s="24" t="s">
        <v>2376</v>
      </c>
    </row>
    <row r="109" spans="1:10" ht="48" customHeight="1" x14ac:dyDescent="0.35">
      <c r="A109" s="28" t="s">
        <v>241</v>
      </c>
      <c r="B109" s="28" t="s">
        <v>438</v>
      </c>
      <c r="C109" s="27" t="s">
        <v>208</v>
      </c>
      <c r="D109" s="29">
        <v>0</v>
      </c>
      <c r="E109" s="27">
        <v>0</v>
      </c>
      <c r="F109" s="27"/>
      <c r="G109" s="28"/>
      <c r="H109" s="27" t="s">
        <v>1514</v>
      </c>
      <c r="I109" s="33" t="s">
        <v>1515</v>
      </c>
      <c r="J109" s="32" t="s">
        <v>2376</v>
      </c>
    </row>
    <row r="110" spans="1:10" ht="48" customHeight="1" x14ac:dyDescent="0.35">
      <c r="A110" s="20" t="s">
        <v>241</v>
      </c>
      <c r="B110" s="20" t="s">
        <v>1931</v>
      </c>
      <c r="C110" s="19" t="s">
        <v>208</v>
      </c>
      <c r="D110" s="21">
        <v>11</v>
      </c>
      <c r="E110" s="19">
        <v>9</v>
      </c>
      <c r="F110" s="19">
        <v>39</v>
      </c>
      <c r="G110" s="20" t="s">
        <v>2431</v>
      </c>
      <c r="H110" s="19" t="s">
        <v>1514</v>
      </c>
      <c r="I110" s="26" t="s">
        <v>1515</v>
      </c>
      <c r="J110" s="24" t="s">
        <v>2376</v>
      </c>
    </row>
    <row r="111" spans="1:10" ht="48" customHeight="1" x14ac:dyDescent="0.35">
      <c r="A111" s="28" t="s">
        <v>241</v>
      </c>
      <c r="B111" s="28" t="s">
        <v>2425</v>
      </c>
      <c r="C111" s="27" t="s">
        <v>397</v>
      </c>
      <c r="D111" s="29">
        <v>9</v>
      </c>
      <c r="E111" s="27">
        <v>8</v>
      </c>
      <c r="F111" s="27">
        <v>43</v>
      </c>
      <c r="G111" s="28" t="s">
        <v>2432</v>
      </c>
      <c r="H111" s="27" t="s">
        <v>1518</v>
      </c>
      <c r="I111" s="33" t="s">
        <v>428</v>
      </c>
      <c r="J111" s="32" t="s">
        <v>2376</v>
      </c>
    </row>
    <row r="112" spans="1:10" ht="48" customHeight="1" x14ac:dyDescent="0.35">
      <c r="A112" s="20" t="s">
        <v>241</v>
      </c>
      <c r="B112" s="20" t="s">
        <v>438</v>
      </c>
      <c r="C112" s="19" t="s">
        <v>397</v>
      </c>
      <c r="D112" s="21">
        <v>0</v>
      </c>
      <c r="E112" s="19">
        <v>0</v>
      </c>
      <c r="F112" s="19"/>
      <c r="G112" s="20"/>
      <c r="H112" s="19" t="s">
        <v>1518</v>
      </c>
      <c r="I112" s="26" t="s">
        <v>428</v>
      </c>
      <c r="J112" s="24" t="s">
        <v>2376</v>
      </c>
    </row>
    <row r="113" spans="1:10" ht="48" customHeight="1" x14ac:dyDescent="0.35">
      <c r="A113" s="28" t="s">
        <v>241</v>
      </c>
      <c r="B113" s="28" t="s">
        <v>1931</v>
      </c>
      <c r="C113" s="27" t="s">
        <v>397</v>
      </c>
      <c r="D113" s="29">
        <v>11</v>
      </c>
      <c r="E113" s="27">
        <v>6</v>
      </c>
      <c r="F113" s="27">
        <v>42</v>
      </c>
      <c r="G113" s="28" t="s">
        <v>2433</v>
      </c>
      <c r="H113" s="27" t="s">
        <v>1518</v>
      </c>
      <c r="I113" s="33" t="s">
        <v>428</v>
      </c>
      <c r="J113" s="32" t="s">
        <v>2376</v>
      </c>
    </row>
    <row r="114" spans="1:10" ht="48" customHeight="1" x14ac:dyDescent="0.35">
      <c r="A114" s="20" t="s">
        <v>223</v>
      </c>
      <c r="B114" s="20" t="s">
        <v>444</v>
      </c>
      <c r="C114" s="19" t="s">
        <v>147</v>
      </c>
      <c r="D114" s="21">
        <v>0</v>
      </c>
      <c r="E114" s="19">
        <v>0</v>
      </c>
      <c r="F114" s="19"/>
      <c r="G114" s="20"/>
      <c r="H114" s="19" t="s">
        <v>1549</v>
      </c>
      <c r="I114" s="26" t="s">
        <v>1550</v>
      </c>
      <c r="J114" s="24" t="s">
        <v>2376</v>
      </c>
    </row>
    <row r="115" spans="1:10" ht="48" customHeight="1" x14ac:dyDescent="0.35">
      <c r="A115" s="28" t="s">
        <v>223</v>
      </c>
      <c r="B115" s="28" t="s">
        <v>444</v>
      </c>
      <c r="C115" s="27" t="s">
        <v>183</v>
      </c>
      <c r="D115" s="29">
        <v>0</v>
      </c>
      <c r="E115" s="27">
        <v>0</v>
      </c>
      <c r="F115" s="27"/>
      <c r="G115" s="28"/>
      <c r="H115" s="27" t="s">
        <v>1553</v>
      </c>
      <c r="I115" s="33" t="s">
        <v>1554</v>
      </c>
      <c r="J115" s="32" t="s">
        <v>2376</v>
      </c>
    </row>
    <row r="116" spans="1:10" ht="48" customHeight="1" x14ac:dyDescent="0.35">
      <c r="A116" s="20" t="s">
        <v>223</v>
      </c>
      <c r="B116" s="20" t="s">
        <v>444</v>
      </c>
      <c r="C116" s="19" t="s">
        <v>89</v>
      </c>
      <c r="D116" s="21">
        <v>12</v>
      </c>
      <c r="E116" s="19">
        <v>4</v>
      </c>
      <c r="F116" s="19">
        <v>104</v>
      </c>
      <c r="G116" s="20" t="s">
        <v>2434</v>
      </c>
      <c r="H116" s="19" t="s">
        <v>1557</v>
      </c>
      <c r="I116" s="26" t="s">
        <v>1558</v>
      </c>
      <c r="J116" s="24" t="s">
        <v>2376</v>
      </c>
    </row>
    <row r="117" spans="1:10" ht="48" customHeight="1" x14ac:dyDescent="0.35">
      <c r="A117" s="28" t="s">
        <v>223</v>
      </c>
      <c r="B117" s="28" t="s">
        <v>444</v>
      </c>
      <c r="C117" s="27" t="s">
        <v>156</v>
      </c>
      <c r="D117" s="29">
        <v>7</v>
      </c>
      <c r="E117" s="27">
        <v>2</v>
      </c>
      <c r="F117" s="27">
        <v>99</v>
      </c>
      <c r="G117" s="28" t="s">
        <v>2435</v>
      </c>
      <c r="H117" s="27" t="s">
        <v>1561</v>
      </c>
      <c r="I117" s="33" t="s">
        <v>1562</v>
      </c>
      <c r="J117" s="32" t="s">
        <v>2376</v>
      </c>
    </row>
    <row r="118" spans="1:10" ht="48" customHeight="1" x14ac:dyDescent="0.35">
      <c r="A118" s="20" t="s">
        <v>223</v>
      </c>
      <c r="B118" s="20" t="s">
        <v>444</v>
      </c>
      <c r="C118" s="19" t="s">
        <v>77</v>
      </c>
      <c r="D118" s="21">
        <v>5</v>
      </c>
      <c r="E118" s="19">
        <v>2</v>
      </c>
      <c r="F118" s="19">
        <v>129</v>
      </c>
      <c r="G118" s="20" t="s">
        <v>2436</v>
      </c>
      <c r="H118" s="19" t="s">
        <v>1565</v>
      </c>
      <c r="I118" s="26" t="s">
        <v>1566</v>
      </c>
      <c r="J118" s="24" t="s">
        <v>2376</v>
      </c>
    </row>
    <row r="119" spans="1:10" ht="48" customHeight="1" x14ac:dyDescent="0.35">
      <c r="A119" s="28" t="s">
        <v>223</v>
      </c>
      <c r="B119" s="28" t="s">
        <v>444</v>
      </c>
      <c r="C119" s="27" t="s">
        <v>208</v>
      </c>
      <c r="D119" s="29">
        <v>1</v>
      </c>
      <c r="E119" s="27">
        <v>1</v>
      </c>
      <c r="F119" s="27">
        <v>25</v>
      </c>
      <c r="G119" s="28" t="s">
        <v>2437</v>
      </c>
      <c r="H119" s="27" t="s">
        <v>1569</v>
      </c>
      <c r="I119" s="33" t="s">
        <v>1570</v>
      </c>
      <c r="J119" s="32" t="s">
        <v>2376</v>
      </c>
    </row>
    <row r="120" spans="1:10" ht="48" customHeight="1" x14ac:dyDescent="0.35">
      <c r="A120" s="20" t="s">
        <v>223</v>
      </c>
      <c r="B120" s="20" t="s">
        <v>444</v>
      </c>
      <c r="C120" s="19" t="s">
        <v>397</v>
      </c>
      <c r="D120" s="21">
        <v>2</v>
      </c>
      <c r="E120" s="19">
        <v>2</v>
      </c>
      <c r="F120" s="19">
        <v>85</v>
      </c>
      <c r="G120" s="20" t="s">
        <v>2438</v>
      </c>
      <c r="H120" s="19" t="s">
        <v>1573</v>
      </c>
      <c r="I120" s="26" t="s">
        <v>1574</v>
      </c>
      <c r="J120" s="24" t="s">
        <v>2376</v>
      </c>
    </row>
    <row r="121" spans="1:10" ht="48" customHeight="1" x14ac:dyDescent="0.35">
      <c r="A121" s="28" t="s">
        <v>296</v>
      </c>
      <c r="B121" s="28" t="s">
        <v>396</v>
      </c>
      <c r="C121" s="27" t="s">
        <v>147</v>
      </c>
      <c r="D121" s="29"/>
      <c r="E121" s="27"/>
      <c r="F121" s="27"/>
      <c r="G121" s="28"/>
      <c r="H121" s="27"/>
      <c r="I121" s="32"/>
      <c r="J121" s="32" t="s">
        <v>2439</v>
      </c>
    </row>
    <row r="122" spans="1:10" ht="48" customHeight="1" x14ac:dyDescent="0.35">
      <c r="A122" s="20" t="s">
        <v>296</v>
      </c>
      <c r="B122" s="20" t="s">
        <v>405</v>
      </c>
      <c r="C122" s="19" t="s">
        <v>147</v>
      </c>
      <c r="D122" s="21"/>
      <c r="E122" s="19"/>
      <c r="F122" s="19"/>
      <c r="G122" s="20"/>
      <c r="H122" s="19"/>
      <c r="I122" s="24"/>
      <c r="J122" s="24" t="s">
        <v>2439</v>
      </c>
    </row>
    <row r="123" spans="1:10" ht="48" customHeight="1" x14ac:dyDescent="0.35">
      <c r="A123" s="28" t="s">
        <v>296</v>
      </c>
      <c r="B123" s="28" t="s">
        <v>2440</v>
      </c>
      <c r="C123" s="27" t="s">
        <v>147</v>
      </c>
      <c r="D123" s="29"/>
      <c r="E123" s="27"/>
      <c r="F123" s="27"/>
      <c r="G123" s="28"/>
      <c r="H123" s="27"/>
      <c r="I123" s="32"/>
      <c r="J123" s="32" t="s">
        <v>2439</v>
      </c>
    </row>
    <row r="124" spans="1:10" ht="48" customHeight="1" x14ac:dyDescent="0.35">
      <c r="A124" s="20" t="s">
        <v>296</v>
      </c>
      <c r="B124" s="20" t="s">
        <v>411</v>
      </c>
      <c r="C124" s="19" t="s">
        <v>147</v>
      </c>
      <c r="D124" s="21"/>
      <c r="E124" s="19"/>
      <c r="F124" s="19"/>
      <c r="G124" s="20"/>
      <c r="H124" s="19"/>
      <c r="I124" s="24"/>
      <c r="J124" s="24" t="s">
        <v>2439</v>
      </c>
    </row>
    <row r="125" spans="1:10" ht="48" customHeight="1" x14ac:dyDescent="0.35">
      <c r="A125" s="28" t="s">
        <v>296</v>
      </c>
      <c r="B125" s="28" t="s">
        <v>396</v>
      </c>
      <c r="C125" s="27" t="s">
        <v>183</v>
      </c>
      <c r="D125" s="29"/>
      <c r="E125" s="27"/>
      <c r="F125" s="27"/>
      <c r="G125" s="28"/>
      <c r="H125" s="27"/>
      <c r="I125" s="32"/>
      <c r="J125" s="32" t="s">
        <v>2439</v>
      </c>
    </row>
    <row r="126" spans="1:10" ht="48" customHeight="1" x14ac:dyDescent="0.35">
      <c r="A126" s="20" t="s">
        <v>296</v>
      </c>
      <c r="B126" s="20" t="s">
        <v>405</v>
      </c>
      <c r="C126" s="19" t="s">
        <v>183</v>
      </c>
      <c r="D126" s="21"/>
      <c r="E126" s="19"/>
      <c r="F126" s="19"/>
      <c r="G126" s="20"/>
      <c r="H126" s="19"/>
      <c r="I126" s="24"/>
      <c r="J126" s="24" t="s">
        <v>2439</v>
      </c>
    </row>
    <row r="127" spans="1:10" ht="48" customHeight="1" x14ac:dyDescent="0.35">
      <c r="A127" s="28" t="s">
        <v>296</v>
      </c>
      <c r="B127" s="28" t="s">
        <v>2440</v>
      </c>
      <c r="C127" s="27" t="s">
        <v>183</v>
      </c>
      <c r="D127" s="29"/>
      <c r="E127" s="27"/>
      <c r="F127" s="27"/>
      <c r="G127" s="28"/>
      <c r="H127" s="27"/>
      <c r="I127" s="32"/>
      <c r="J127" s="32" t="s">
        <v>2439</v>
      </c>
    </row>
    <row r="128" spans="1:10" ht="48" customHeight="1" x14ac:dyDescent="0.35">
      <c r="A128" s="20" t="s">
        <v>296</v>
      </c>
      <c r="B128" s="20" t="s">
        <v>411</v>
      </c>
      <c r="C128" s="19" t="s">
        <v>183</v>
      </c>
      <c r="D128" s="21"/>
      <c r="E128" s="19"/>
      <c r="F128" s="19"/>
      <c r="G128" s="20"/>
      <c r="H128" s="19"/>
      <c r="I128" s="24"/>
      <c r="J128" s="24" t="s">
        <v>2439</v>
      </c>
    </row>
    <row r="129" spans="1:10" ht="48" customHeight="1" x14ac:dyDescent="0.35">
      <c r="A129" s="28" t="s">
        <v>296</v>
      </c>
      <c r="B129" s="28" t="s">
        <v>396</v>
      </c>
      <c r="C129" s="27" t="s">
        <v>89</v>
      </c>
      <c r="D129" s="29"/>
      <c r="E129" s="27"/>
      <c r="F129" s="27"/>
      <c r="G129" s="28"/>
      <c r="H129" s="27"/>
      <c r="I129" s="32"/>
      <c r="J129" s="32" t="s">
        <v>2439</v>
      </c>
    </row>
    <row r="130" spans="1:10" ht="48" customHeight="1" x14ac:dyDescent="0.35">
      <c r="A130" s="20" t="s">
        <v>296</v>
      </c>
      <c r="B130" s="20" t="s">
        <v>405</v>
      </c>
      <c r="C130" s="19" t="s">
        <v>89</v>
      </c>
      <c r="D130" s="21"/>
      <c r="E130" s="19"/>
      <c r="F130" s="19"/>
      <c r="G130" s="20"/>
      <c r="H130" s="19"/>
      <c r="I130" s="24"/>
      <c r="J130" s="24" t="s">
        <v>2439</v>
      </c>
    </row>
    <row r="131" spans="1:10" ht="48" customHeight="1" x14ac:dyDescent="0.35">
      <c r="A131" s="28" t="s">
        <v>296</v>
      </c>
      <c r="B131" s="28" t="s">
        <v>2440</v>
      </c>
      <c r="C131" s="27" t="s">
        <v>89</v>
      </c>
      <c r="D131" s="29"/>
      <c r="E131" s="27"/>
      <c r="F131" s="27"/>
      <c r="G131" s="28"/>
      <c r="H131" s="27"/>
      <c r="I131" s="32"/>
      <c r="J131" s="32" t="s">
        <v>2439</v>
      </c>
    </row>
    <row r="132" spans="1:10" ht="48" customHeight="1" x14ac:dyDescent="0.35">
      <c r="A132" s="20" t="s">
        <v>296</v>
      </c>
      <c r="B132" s="20" t="s">
        <v>411</v>
      </c>
      <c r="C132" s="19" t="s">
        <v>89</v>
      </c>
      <c r="D132" s="21"/>
      <c r="E132" s="19"/>
      <c r="F132" s="19"/>
      <c r="G132" s="20"/>
      <c r="H132" s="19"/>
      <c r="I132" s="24"/>
      <c r="J132" s="24" t="s">
        <v>2439</v>
      </c>
    </row>
    <row r="133" spans="1:10" ht="48" customHeight="1" x14ac:dyDescent="0.35">
      <c r="A133" s="28" t="s">
        <v>296</v>
      </c>
      <c r="B133" s="28" t="s">
        <v>396</v>
      </c>
      <c r="C133" s="27" t="s">
        <v>156</v>
      </c>
      <c r="D133" s="29"/>
      <c r="E133" s="27"/>
      <c r="F133" s="27"/>
      <c r="G133" s="28"/>
      <c r="H133" s="27"/>
      <c r="I133" s="32"/>
      <c r="J133" s="32" t="s">
        <v>2439</v>
      </c>
    </row>
    <row r="134" spans="1:10" ht="48" customHeight="1" x14ac:dyDescent="0.35">
      <c r="A134" s="20" t="s">
        <v>296</v>
      </c>
      <c r="B134" s="20" t="s">
        <v>405</v>
      </c>
      <c r="C134" s="19" t="s">
        <v>156</v>
      </c>
      <c r="D134" s="21"/>
      <c r="E134" s="19"/>
      <c r="F134" s="19"/>
      <c r="G134" s="20"/>
      <c r="H134" s="19"/>
      <c r="I134" s="24"/>
      <c r="J134" s="24" t="s">
        <v>2439</v>
      </c>
    </row>
    <row r="135" spans="1:10" ht="48" customHeight="1" x14ac:dyDescent="0.35">
      <c r="A135" s="28" t="s">
        <v>296</v>
      </c>
      <c r="B135" s="28" t="s">
        <v>2440</v>
      </c>
      <c r="C135" s="27" t="s">
        <v>156</v>
      </c>
      <c r="D135" s="29"/>
      <c r="E135" s="27"/>
      <c r="F135" s="27"/>
      <c r="G135" s="28"/>
      <c r="H135" s="27"/>
      <c r="I135" s="32"/>
      <c r="J135" s="32" t="s">
        <v>2439</v>
      </c>
    </row>
    <row r="136" spans="1:10" ht="48" customHeight="1" x14ac:dyDescent="0.35">
      <c r="A136" s="20" t="s">
        <v>296</v>
      </c>
      <c r="B136" s="20" t="s">
        <v>411</v>
      </c>
      <c r="C136" s="19" t="s">
        <v>156</v>
      </c>
      <c r="D136" s="21"/>
      <c r="E136" s="19"/>
      <c r="F136" s="19"/>
      <c r="G136" s="20"/>
      <c r="H136" s="19"/>
      <c r="I136" s="24"/>
      <c r="J136" s="24" t="s">
        <v>2439</v>
      </c>
    </row>
    <row r="137" spans="1:10" ht="48" customHeight="1" x14ac:dyDescent="0.35">
      <c r="A137" s="28" t="s">
        <v>296</v>
      </c>
      <c r="B137" s="28" t="s">
        <v>396</v>
      </c>
      <c r="C137" s="27" t="s">
        <v>77</v>
      </c>
      <c r="D137" s="29">
        <v>30</v>
      </c>
      <c r="E137" s="27">
        <v>20</v>
      </c>
      <c r="F137" s="27">
        <v>7</v>
      </c>
      <c r="G137" s="28" t="s">
        <v>2441</v>
      </c>
      <c r="H137" s="27" t="s">
        <v>597</v>
      </c>
      <c r="I137" s="33" t="s">
        <v>414</v>
      </c>
      <c r="J137" s="32" t="s">
        <v>2376</v>
      </c>
    </row>
    <row r="138" spans="1:10" ht="48" customHeight="1" x14ac:dyDescent="0.35">
      <c r="A138" s="20" t="s">
        <v>296</v>
      </c>
      <c r="B138" s="20" t="s">
        <v>405</v>
      </c>
      <c r="C138" s="19" t="s">
        <v>77</v>
      </c>
      <c r="D138" s="21">
        <v>31</v>
      </c>
      <c r="E138" s="19">
        <v>20</v>
      </c>
      <c r="F138" s="19">
        <v>7</v>
      </c>
      <c r="G138" s="20" t="s">
        <v>2442</v>
      </c>
      <c r="H138" s="19" t="s">
        <v>597</v>
      </c>
      <c r="I138" s="26" t="s">
        <v>414</v>
      </c>
      <c r="J138" s="24" t="s">
        <v>2376</v>
      </c>
    </row>
    <row r="139" spans="1:10" ht="48" customHeight="1" x14ac:dyDescent="0.35">
      <c r="A139" s="28" t="s">
        <v>296</v>
      </c>
      <c r="B139" s="28" t="s">
        <v>2440</v>
      </c>
      <c r="C139" s="27" t="s">
        <v>77</v>
      </c>
      <c r="D139" s="29">
        <v>4</v>
      </c>
      <c r="E139" s="27">
        <v>3</v>
      </c>
      <c r="F139" s="27">
        <v>8</v>
      </c>
      <c r="G139" s="28" t="s">
        <v>2443</v>
      </c>
      <c r="H139" s="27" t="s">
        <v>597</v>
      </c>
      <c r="I139" s="33" t="s">
        <v>414</v>
      </c>
      <c r="J139" s="32" t="s">
        <v>2376</v>
      </c>
    </row>
    <row r="140" spans="1:10" ht="48" customHeight="1" x14ac:dyDescent="0.35">
      <c r="A140" s="20" t="s">
        <v>296</v>
      </c>
      <c r="B140" s="20" t="s">
        <v>411</v>
      </c>
      <c r="C140" s="19" t="s">
        <v>77</v>
      </c>
      <c r="D140" s="21">
        <v>9</v>
      </c>
      <c r="E140" s="19">
        <v>9</v>
      </c>
      <c r="F140" s="19">
        <v>8</v>
      </c>
      <c r="G140" s="20" t="s">
        <v>2444</v>
      </c>
      <c r="H140" s="19" t="s">
        <v>597</v>
      </c>
      <c r="I140" s="26" t="s">
        <v>414</v>
      </c>
      <c r="J140" s="24" t="s">
        <v>2376</v>
      </c>
    </row>
    <row r="141" spans="1:10" ht="48" customHeight="1" x14ac:dyDescent="0.35">
      <c r="A141" s="28" t="s">
        <v>296</v>
      </c>
      <c r="B141" s="28" t="s">
        <v>396</v>
      </c>
      <c r="C141" s="27" t="s">
        <v>208</v>
      </c>
      <c r="D141" s="29">
        <v>41</v>
      </c>
      <c r="E141" s="27">
        <v>26</v>
      </c>
      <c r="F141" s="27">
        <v>18</v>
      </c>
      <c r="G141" s="28" t="s">
        <v>2445</v>
      </c>
      <c r="H141" s="27" t="s">
        <v>1523</v>
      </c>
      <c r="I141" s="33" t="s">
        <v>1524</v>
      </c>
      <c r="J141" s="32" t="s">
        <v>2376</v>
      </c>
    </row>
    <row r="142" spans="1:10" ht="48" customHeight="1" x14ac:dyDescent="0.35">
      <c r="A142" s="20" t="s">
        <v>296</v>
      </c>
      <c r="B142" s="20" t="s">
        <v>405</v>
      </c>
      <c r="C142" s="19" t="s">
        <v>208</v>
      </c>
      <c r="D142" s="21">
        <v>29</v>
      </c>
      <c r="E142" s="19">
        <v>17</v>
      </c>
      <c r="F142" s="19">
        <v>22</v>
      </c>
      <c r="G142" s="20" t="s">
        <v>2446</v>
      </c>
      <c r="H142" s="19" t="s">
        <v>1523</v>
      </c>
      <c r="I142" s="26" t="s">
        <v>1524</v>
      </c>
      <c r="J142" s="24" t="s">
        <v>2376</v>
      </c>
    </row>
    <row r="143" spans="1:10" ht="48" customHeight="1" x14ac:dyDescent="0.35">
      <c r="A143" s="28" t="s">
        <v>296</v>
      </c>
      <c r="B143" s="28" t="s">
        <v>2440</v>
      </c>
      <c r="C143" s="27" t="s">
        <v>208</v>
      </c>
      <c r="D143" s="29">
        <v>9</v>
      </c>
      <c r="E143" s="27">
        <v>8</v>
      </c>
      <c r="F143" s="27">
        <v>22</v>
      </c>
      <c r="G143" s="28" t="s">
        <v>2447</v>
      </c>
      <c r="H143" s="27" t="s">
        <v>1523</v>
      </c>
      <c r="I143" s="33" t="s">
        <v>1524</v>
      </c>
      <c r="J143" s="32" t="s">
        <v>2376</v>
      </c>
    </row>
    <row r="144" spans="1:10" ht="48" customHeight="1" x14ac:dyDescent="0.35">
      <c r="A144" s="20" t="s">
        <v>296</v>
      </c>
      <c r="B144" s="20" t="s">
        <v>411</v>
      </c>
      <c r="C144" s="19" t="s">
        <v>208</v>
      </c>
      <c r="D144" s="21">
        <v>4</v>
      </c>
      <c r="E144" s="19">
        <v>4</v>
      </c>
      <c r="F144" s="19">
        <v>86</v>
      </c>
      <c r="G144" s="20" t="s">
        <v>2448</v>
      </c>
      <c r="H144" s="19" t="s">
        <v>1523</v>
      </c>
      <c r="I144" s="26" t="s">
        <v>1524</v>
      </c>
      <c r="J144" s="24" t="s">
        <v>2376</v>
      </c>
    </row>
    <row r="145" spans="1:10" ht="48" customHeight="1" x14ac:dyDescent="0.35">
      <c r="A145" s="28" t="s">
        <v>296</v>
      </c>
      <c r="B145" s="28" t="s">
        <v>396</v>
      </c>
      <c r="C145" s="27" t="s">
        <v>397</v>
      </c>
      <c r="D145" s="29">
        <v>39</v>
      </c>
      <c r="E145" s="27">
        <v>20</v>
      </c>
      <c r="F145" s="27">
        <v>3</v>
      </c>
      <c r="G145" s="28" t="s">
        <v>2449</v>
      </c>
      <c r="H145" s="27" t="s">
        <v>1527</v>
      </c>
      <c r="I145" s="33" t="s">
        <v>402</v>
      </c>
      <c r="J145" s="32" t="s">
        <v>2376</v>
      </c>
    </row>
    <row r="146" spans="1:10" ht="48" customHeight="1" x14ac:dyDescent="0.35">
      <c r="A146" s="20" t="s">
        <v>296</v>
      </c>
      <c r="B146" s="20" t="s">
        <v>405</v>
      </c>
      <c r="C146" s="19" t="s">
        <v>397</v>
      </c>
      <c r="D146" s="21">
        <v>23</v>
      </c>
      <c r="E146" s="19">
        <v>16</v>
      </c>
      <c r="F146" s="19">
        <v>8</v>
      </c>
      <c r="G146" s="20" t="s">
        <v>2450</v>
      </c>
      <c r="H146" s="19" t="s">
        <v>1527</v>
      </c>
      <c r="I146" s="26" t="s">
        <v>402</v>
      </c>
      <c r="J146" s="24" t="s">
        <v>2376</v>
      </c>
    </row>
    <row r="147" spans="1:10" ht="48" customHeight="1" x14ac:dyDescent="0.35">
      <c r="A147" s="28" t="s">
        <v>296</v>
      </c>
      <c r="B147" s="28" t="s">
        <v>2440</v>
      </c>
      <c r="C147" s="27" t="s">
        <v>397</v>
      </c>
      <c r="D147" s="29">
        <v>10</v>
      </c>
      <c r="E147" s="27">
        <v>9</v>
      </c>
      <c r="F147" s="27">
        <v>8</v>
      </c>
      <c r="G147" s="28" t="s">
        <v>2451</v>
      </c>
      <c r="H147" s="27" t="s">
        <v>1527</v>
      </c>
      <c r="I147" s="33" t="s">
        <v>402</v>
      </c>
      <c r="J147" s="32" t="s">
        <v>2376</v>
      </c>
    </row>
    <row r="148" spans="1:10" ht="48" customHeight="1" x14ac:dyDescent="0.35">
      <c r="A148" s="20" t="s">
        <v>296</v>
      </c>
      <c r="B148" s="20" t="s">
        <v>411</v>
      </c>
      <c r="C148" s="19" t="s">
        <v>397</v>
      </c>
      <c r="D148" s="21">
        <v>0</v>
      </c>
      <c r="E148" s="19">
        <v>0</v>
      </c>
      <c r="F148" s="19"/>
      <c r="G148" s="20"/>
      <c r="H148" s="19" t="s">
        <v>1527</v>
      </c>
      <c r="I148" s="26" t="s">
        <v>402</v>
      </c>
      <c r="J148" s="24" t="s">
        <v>2376</v>
      </c>
    </row>
    <row r="149" spans="1:10" ht="48" customHeight="1" x14ac:dyDescent="0.35">
      <c r="A149" s="28" t="s">
        <v>258</v>
      </c>
      <c r="B149" s="28" t="s">
        <v>2452</v>
      </c>
      <c r="C149" s="27" t="s">
        <v>147</v>
      </c>
      <c r="D149" s="29"/>
      <c r="E149" s="27"/>
      <c r="F149" s="27"/>
      <c r="G149" s="28"/>
      <c r="H149" s="27"/>
      <c r="I149" s="32"/>
      <c r="J149" s="32" t="s">
        <v>2439</v>
      </c>
    </row>
    <row r="150" spans="1:10" ht="48" customHeight="1" x14ac:dyDescent="0.35">
      <c r="A150" s="20" t="s">
        <v>258</v>
      </c>
      <c r="B150" s="20" t="s">
        <v>2453</v>
      </c>
      <c r="C150" s="19" t="s">
        <v>147</v>
      </c>
      <c r="D150" s="21"/>
      <c r="E150" s="19"/>
      <c r="F150" s="19"/>
      <c r="G150" s="20"/>
      <c r="H150" s="19"/>
      <c r="I150" s="24"/>
      <c r="J150" s="24" t="s">
        <v>2439</v>
      </c>
    </row>
    <row r="151" spans="1:10" ht="48" customHeight="1" x14ac:dyDescent="0.35">
      <c r="A151" s="28" t="s">
        <v>258</v>
      </c>
      <c r="B151" s="28" t="s">
        <v>2452</v>
      </c>
      <c r="C151" s="27" t="s">
        <v>183</v>
      </c>
      <c r="D151" s="29"/>
      <c r="E151" s="27"/>
      <c r="F151" s="27"/>
      <c r="G151" s="28"/>
      <c r="H151" s="27"/>
      <c r="I151" s="32"/>
      <c r="J151" s="32" t="s">
        <v>2439</v>
      </c>
    </row>
    <row r="152" spans="1:10" ht="48" customHeight="1" x14ac:dyDescent="0.35">
      <c r="A152" s="20" t="s">
        <v>258</v>
      </c>
      <c r="B152" s="20" t="s">
        <v>2453</v>
      </c>
      <c r="C152" s="19" t="s">
        <v>183</v>
      </c>
      <c r="D152" s="21"/>
      <c r="E152" s="19"/>
      <c r="F152" s="19"/>
      <c r="G152" s="20"/>
      <c r="H152" s="19"/>
      <c r="I152" s="24"/>
      <c r="J152" s="24" t="s">
        <v>2439</v>
      </c>
    </row>
    <row r="153" spans="1:10" ht="48" customHeight="1" x14ac:dyDescent="0.35">
      <c r="A153" s="28" t="s">
        <v>258</v>
      </c>
      <c r="B153" s="28" t="s">
        <v>2452</v>
      </c>
      <c r="C153" s="27" t="s">
        <v>89</v>
      </c>
      <c r="D153" s="29">
        <v>5</v>
      </c>
      <c r="E153" s="27">
        <v>4</v>
      </c>
      <c r="F153" s="27">
        <v>6</v>
      </c>
      <c r="G153" s="28" t="s">
        <v>2454</v>
      </c>
      <c r="H153" s="27" t="s">
        <v>1530</v>
      </c>
      <c r="I153" s="33" t="s">
        <v>1531</v>
      </c>
      <c r="J153" s="32" t="s">
        <v>2376</v>
      </c>
    </row>
    <row r="154" spans="1:10" ht="48" customHeight="1" x14ac:dyDescent="0.35">
      <c r="A154" s="20" t="s">
        <v>258</v>
      </c>
      <c r="B154" s="20" t="s">
        <v>2453</v>
      </c>
      <c r="C154" s="19" t="s">
        <v>89</v>
      </c>
      <c r="D154" s="21">
        <v>4</v>
      </c>
      <c r="E154" s="19">
        <v>3</v>
      </c>
      <c r="F154" s="19">
        <v>6</v>
      </c>
      <c r="G154" s="20" t="s">
        <v>2455</v>
      </c>
      <c r="H154" s="19" t="s">
        <v>1530</v>
      </c>
      <c r="I154" s="26" t="s">
        <v>1531</v>
      </c>
      <c r="J154" s="24" t="s">
        <v>2376</v>
      </c>
    </row>
    <row r="155" spans="1:10" ht="48" customHeight="1" x14ac:dyDescent="0.35">
      <c r="A155" s="28" t="s">
        <v>258</v>
      </c>
      <c r="B155" s="28" t="s">
        <v>2452</v>
      </c>
      <c r="C155" s="27" t="s">
        <v>156</v>
      </c>
      <c r="D155" s="29">
        <v>3</v>
      </c>
      <c r="E155" s="27">
        <v>3</v>
      </c>
      <c r="F155" s="27">
        <v>5</v>
      </c>
      <c r="G155" s="28" t="s">
        <v>2456</v>
      </c>
      <c r="H155" s="27" t="s">
        <v>1534</v>
      </c>
      <c r="I155" s="33" t="s">
        <v>1535</v>
      </c>
      <c r="J155" s="32" t="s">
        <v>2376</v>
      </c>
    </row>
    <row r="156" spans="1:10" ht="48" customHeight="1" x14ac:dyDescent="0.35">
      <c r="A156" s="20" t="s">
        <v>258</v>
      </c>
      <c r="B156" s="20" t="s">
        <v>2453</v>
      </c>
      <c r="C156" s="19" t="s">
        <v>156</v>
      </c>
      <c r="D156" s="21">
        <v>4</v>
      </c>
      <c r="E156" s="19">
        <v>3</v>
      </c>
      <c r="F156" s="19">
        <v>5</v>
      </c>
      <c r="G156" s="20" t="s">
        <v>2456</v>
      </c>
      <c r="H156" s="19" t="s">
        <v>1534</v>
      </c>
      <c r="I156" s="26" t="s">
        <v>1535</v>
      </c>
      <c r="J156" s="24" t="s">
        <v>2376</v>
      </c>
    </row>
    <row r="157" spans="1:10" ht="48" customHeight="1" x14ac:dyDescent="0.35">
      <c r="A157" s="28" t="s">
        <v>258</v>
      </c>
      <c r="B157" s="28" t="s">
        <v>2452</v>
      </c>
      <c r="C157" s="27" t="s">
        <v>77</v>
      </c>
      <c r="D157" s="29">
        <v>12</v>
      </c>
      <c r="E157" s="27">
        <v>8</v>
      </c>
      <c r="F157" s="27">
        <v>11</v>
      </c>
      <c r="G157" s="28" t="s">
        <v>2457</v>
      </c>
      <c r="H157" s="27" t="s">
        <v>1538</v>
      </c>
      <c r="I157" s="33" t="s">
        <v>471</v>
      </c>
      <c r="J157" s="32" t="s">
        <v>2376</v>
      </c>
    </row>
    <row r="158" spans="1:10" ht="48" customHeight="1" x14ac:dyDescent="0.35">
      <c r="A158" s="20" t="s">
        <v>258</v>
      </c>
      <c r="B158" s="20" t="s">
        <v>2453</v>
      </c>
      <c r="C158" s="19" t="s">
        <v>77</v>
      </c>
      <c r="D158" s="21">
        <v>15</v>
      </c>
      <c r="E158" s="19">
        <v>9</v>
      </c>
      <c r="F158" s="19">
        <v>8</v>
      </c>
      <c r="G158" s="20" t="s">
        <v>2458</v>
      </c>
      <c r="H158" s="19" t="s">
        <v>1538</v>
      </c>
      <c r="I158" s="26" t="s">
        <v>471</v>
      </c>
      <c r="J158" s="24" t="s">
        <v>2376</v>
      </c>
    </row>
    <row r="159" spans="1:10" ht="48" customHeight="1" x14ac:dyDescent="0.35">
      <c r="A159" s="28" t="s">
        <v>258</v>
      </c>
      <c r="B159" s="28" t="s">
        <v>2452</v>
      </c>
      <c r="C159" s="27" t="s">
        <v>208</v>
      </c>
      <c r="D159" s="29">
        <v>14</v>
      </c>
      <c r="E159" s="27">
        <v>10</v>
      </c>
      <c r="F159" s="27">
        <v>7</v>
      </c>
      <c r="G159" s="28" t="s">
        <v>2459</v>
      </c>
      <c r="H159" s="27" t="s">
        <v>1541</v>
      </c>
      <c r="I159" s="33" t="s">
        <v>1542</v>
      </c>
      <c r="J159" s="32" t="s">
        <v>2376</v>
      </c>
    </row>
    <row r="160" spans="1:10" ht="48" customHeight="1" x14ac:dyDescent="0.35">
      <c r="A160" s="20" t="s">
        <v>258</v>
      </c>
      <c r="B160" s="20" t="s">
        <v>2453</v>
      </c>
      <c r="C160" s="19" t="s">
        <v>208</v>
      </c>
      <c r="D160" s="21">
        <v>7</v>
      </c>
      <c r="E160" s="19">
        <v>5</v>
      </c>
      <c r="F160" s="19">
        <v>9</v>
      </c>
      <c r="G160" s="20" t="s">
        <v>2460</v>
      </c>
      <c r="H160" s="19" t="s">
        <v>1541</v>
      </c>
      <c r="I160" s="26" t="s">
        <v>1542</v>
      </c>
      <c r="J160" s="24" t="s">
        <v>2376</v>
      </c>
    </row>
    <row r="161" spans="1:10" ht="48" customHeight="1" x14ac:dyDescent="0.35">
      <c r="A161" s="28" t="s">
        <v>258</v>
      </c>
      <c r="B161" s="28" t="s">
        <v>2452</v>
      </c>
      <c r="C161" s="27" t="s">
        <v>397</v>
      </c>
      <c r="D161" s="29">
        <v>27</v>
      </c>
      <c r="E161" s="27">
        <v>9</v>
      </c>
      <c r="F161" s="27">
        <v>9</v>
      </c>
      <c r="G161" s="28" t="s">
        <v>2461</v>
      </c>
      <c r="H161" s="27" t="s">
        <v>1545</v>
      </c>
      <c r="I161" s="33" t="s">
        <v>1546</v>
      </c>
      <c r="J161" s="32" t="s">
        <v>2376</v>
      </c>
    </row>
    <row r="162" spans="1:10" ht="48" customHeight="1" x14ac:dyDescent="0.35">
      <c r="A162" s="20" t="s">
        <v>258</v>
      </c>
      <c r="B162" s="20" t="s">
        <v>2453</v>
      </c>
      <c r="C162" s="19" t="s">
        <v>397</v>
      </c>
      <c r="D162" s="21">
        <v>5</v>
      </c>
      <c r="E162" s="19">
        <v>3</v>
      </c>
      <c r="F162" s="19">
        <v>13</v>
      </c>
      <c r="G162" s="20" t="s">
        <v>2462</v>
      </c>
      <c r="H162" s="19" t="s">
        <v>1545</v>
      </c>
      <c r="I162" s="26" t="s">
        <v>1546</v>
      </c>
      <c r="J162" s="24" t="s">
        <v>2376</v>
      </c>
    </row>
    <row r="163" spans="1:10" ht="48" customHeight="1" x14ac:dyDescent="0.35">
      <c r="A163" s="28" t="s">
        <v>313</v>
      </c>
      <c r="B163" s="28" t="s">
        <v>495</v>
      </c>
      <c r="C163" s="27" t="s">
        <v>147</v>
      </c>
      <c r="D163" s="29">
        <v>3</v>
      </c>
      <c r="E163" s="27">
        <v>2</v>
      </c>
      <c r="F163" s="27">
        <v>27</v>
      </c>
      <c r="G163" s="28" t="s">
        <v>2463</v>
      </c>
      <c r="H163" s="27" t="s">
        <v>1632</v>
      </c>
      <c r="I163" s="33" t="s">
        <v>498</v>
      </c>
      <c r="J163" s="32" t="s">
        <v>2376</v>
      </c>
    </row>
    <row r="164" spans="1:10" ht="48" customHeight="1" x14ac:dyDescent="0.35">
      <c r="A164" s="20" t="s">
        <v>313</v>
      </c>
      <c r="B164" s="20" t="s">
        <v>501</v>
      </c>
      <c r="C164" s="19" t="s">
        <v>147</v>
      </c>
      <c r="D164" s="21">
        <v>0</v>
      </c>
      <c r="E164" s="19">
        <v>0</v>
      </c>
      <c r="F164" s="19"/>
      <c r="G164" s="20"/>
      <c r="H164" s="19" t="s">
        <v>1632</v>
      </c>
      <c r="I164" s="26" t="s">
        <v>498</v>
      </c>
      <c r="J164" s="24" t="s">
        <v>2376</v>
      </c>
    </row>
    <row r="165" spans="1:10" ht="48" customHeight="1" x14ac:dyDescent="0.35">
      <c r="A165" s="28" t="s">
        <v>313</v>
      </c>
      <c r="B165" s="28" t="s">
        <v>2464</v>
      </c>
      <c r="C165" s="27" t="s">
        <v>147</v>
      </c>
      <c r="D165" s="29">
        <v>0</v>
      </c>
      <c r="E165" s="27">
        <v>0</v>
      </c>
      <c r="F165" s="27"/>
      <c r="G165" s="28"/>
      <c r="H165" s="27" t="s">
        <v>1632</v>
      </c>
      <c r="I165" s="33" t="s">
        <v>498</v>
      </c>
      <c r="J165" s="32" t="s">
        <v>2376</v>
      </c>
    </row>
    <row r="166" spans="1:10" ht="48" customHeight="1" x14ac:dyDescent="0.35">
      <c r="A166" s="20" t="s">
        <v>313</v>
      </c>
      <c r="B166" s="20" t="s">
        <v>495</v>
      </c>
      <c r="C166" s="19" t="s">
        <v>183</v>
      </c>
      <c r="D166" s="21">
        <v>11</v>
      </c>
      <c r="E166" s="19">
        <v>2</v>
      </c>
      <c r="F166" s="19">
        <v>7</v>
      </c>
      <c r="G166" s="20" t="s">
        <v>2465</v>
      </c>
      <c r="H166" s="19" t="s">
        <v>1635</v>
      </c>
      <c r="I166" s="26" t="s">
        <v>1636</v>
      </c>
      <c r="J166" s="24" t="s">
        <v>2376</v>
      </c>
    </row>
    <row r="167" spans="1:10" ht="48" customHeight="1" x14ac:dyDescent="0.35">
      <c r="A167" s="28" t="s">
        <v>313</v>
      </c>
      <c r="B167" s="28" t="s">
        <v>501</v>
      </c>
      <c r="C167" s="27" t="s">
        <v>183</v>
      </c>
      <c r="D167" s="29">
        <v>0</v>
      </c>
      <c r="E167" s="27">
        <v>0</v>
      </c>
      <c r="F167" s="27"/>
      <c r="G167" s="28"/>
      <c r="H167" s="27" t="s">
        <v>1635</v>
      </c>
      <c r="I167" s="33" t="s">
        <v>1636</v>
      </c>
      <c r="J167" s="32" t="s">
        <v>2376</v>
      </c>
    </row>
    <row r="168" spans="1:10" ht="48" customHeight="1" x14ac:dyDescent="0.35">
      <c r="A168" s="20" t="s">
        <v>313</v>
      </c>
      <c r="B168" s="20" t="s">
        <v>2464</v>
      </c>
      <c r="C168" s="19" t="s">
        <v>183</v>
      </c>
      <c r="D168" s="21">
        <v>0</v>
      </c>
      <c r="E168" s="19">
        <v>0</v>
      </c>
      <c r="F168" s="19"/>
      <c r="G168" s="20"/>
      <c r="H168" s="19" t="s">
        <v>1635</v>
      </c>
      <c r="I168" s="26" t="s">
        <v>1636</v>
      </c>
      <c r="J168" s="24" t="s">
        <v>2376</v>
      </c>
    </row>
    <row r="169" spans="1:10" ht="48" customHeight="1" x14ac:dyDescent="0.35">
      <c r="A169" s="28" t="s">
        <v>313</v>
      </c>
      <c r="B169" s="28" t="s">
        <v>495</v>
      </c>
      <c r="C169" s="27" t="s">
        <v>89</v>
      </c>
      <c r="D169" s="29">
        <v>1</v>
      </c>
      <c r="E169" s="27">
        <v>1</v>
      </c>
      <c r="F169" s="27">
        <v>5</v>
      </c>
      <c r="G169" s="28" t="s">
        <v>2466</v>
      </c>
      <c r="H169" s="27" t="s">
        <v>1639</v>
      </c>
      <c r="I169" s="33" t="s">
        <v>504</v>
      </c>
      <c r="J169" s="32" t="s">
        <v>2376</v>
      </c>
    </row>
    <row r="170" spans="1:10" ht="48" customHeight="1" x14ac:dyDescent="0.35">
      <c r="A170" s="20" t="s">
        <v>313</v>
      </c>
      <c r="B170" s="20" t="s">
        <v>501</v>
      </c>
      <c r="C170" s="19" t="s">
        <v>89</v>
      </c>
      <c r="D170" s="21">
        <v>14</v>
      </c>
      <c r="E170" s="19">
        <v>8</v>
      </c>
      <c r="F170" s="19">
        <v>4</v>
      </c>
      <c r="G170" s="20" t="s">
        <v>2467</v>
      </c>
      <c r="H170" s="19" t="s">
        <v>1639</v>
      </c>
      <c r="I170" s="26" t="s">
        <v>504</v>
      </c>
      <c r="J170" s="24" t="s">
        <v>2376</v>
      </c>
    </row>
    <row r="171" spans="1:10" ht="48" customHeight="1" x14ac:dyDescent="0.35">
      <c r="A171" s="28" t="s">
        <v>313</v>
      </c>
      <c r="B171" s="28" t="s">
        <v>2464</v>
      </c>
      <c r="C171" s="27" t="s">
        <v>89</v>
      </c>
      <c r="D171" s="29">
        <v>15</v>
      </c>
      <c r="E171" s="27">
        <v>8</v>
      </c>
      <c r="F171" s="27">
        <v>4</v>
      </c>
      <c r="G171" s="28" t="s">
        <v>2467</v>
      </c>
      <c r="H171" s="27" t="s">
        <v>1639</v>
      </c>
      <c r="I171" s="33" t="s">
        <v>504</v>
      </c>
      <c r="J171" s="32" t="s">
        <v>2376</v>
      </c>
    </row>
    <row r="172" spans="1:10" ht="48" customHeight="1" x14ac:dyDescent="0.35">
      <c r="A172" s="20" t="s">
        <v>313</v>
      </c>
      <c r="B172" s="20" t="s">
        <v>495</v>
      </c>
      <c r="C172" s="19" t="s">
        <v>156</v>
      </c>
      <c r="D172" s="21">
        <v>1</v>
      </c>
      <c r="E172" s="19">
        <v>1</v>
      </c>
      <c r="F172" s="19">
        <v>13</v>
      </c>
      <c r="G172" s="20" t="s">
        <v>2468</v>
      </c>
      <c r="H172" s="19" t="s">
        <v>1642</v>
      </c>
      <c r="I172" s="26" t="s">
        <v>1643</v>
      </c>
      <c r="J172" s="24" t="s">
        <v>2376</v>
      </c>
    </row>
    <row r="173" spans="1:10" ht="48" customHeight="1" x14ac:dyDescent="0.35">
      <c r="A173" s="28" t="s">
        <v>313</v>
      </c>
      <c r="B173" s="28" t="s">
        <v>501</v>
      </c>
      <c r="C173" s="27" t="s">
        <v>156</v>
      </c>
      <c r="D173" s="29">
        <v>22</v>
      </c>
      <c r="E173" s="27">
        <v>6</v>
      </c>
      <c r="F173" s="27">
        <v>11</v>
      </c>
      <c r="G173" s="28" t="s">
        <v>2469</v>
      </c>
      <c r="H173" s="27" t="s">
        <v>1642</v>
      </c>
      <c r="I173" s="33" t="s">
        <v>1643</v>
      </c>
      <c r="J173" s="32" t="s">
        <v>2376</v>
      </c>
    </row>
    <row r="174" spans="1:10" ht="48" customHeight="1" x14ac:dyDescent="0.35">
      <c r="A174" s="20" t="s">
        <v>313</v>
      </c>
      <c r="B174" s="20" t="s">
        <v>2464</v>
      </c>
      <c r="C174" s="19" t="s">
        <v>156</v>
      </c>
      <c r="D174" s="21">
        <v>21</v>
      </c>
      <c r="E174" s="19">
        <v>8</v>
      </c>
      <c r="F174" s="19">
        <v>11</v>
      </c>
      <c r="G174" s="20" t="s">
        <v>2470</v>
      </c>
      <c r="H174" s="19" t="s">
        <v>1642</v>
      </c>
      <c r="I174" s="26" t="s">
        <v>1643</v>
      </c>
      <c r="J174" s="24" t="s">
        <v>2376</v>
      </c>
    </row>
    <row r="175" spans="1:10" ht="48" customHeight="1" x14ac:dyDescent="0.35">
      <c r="A175" s="28" t="s">
        <v>313</v>
      </c>
      <c r="B175" s="28" t="s">
        <v>495</v>
      </c>
      <c r="C175" s="27" t="s">
        <v>77</v>
      </c>
      <c r="D175" s="29">
        <v>0</v>
      </c>
      <c r="E175" s="27">
        <v>0</v>
      </c>
      <c r="F175" s="27"/>
      <c r="G175" s="28"/>
      <c r="H175" s="27" t="s">
        <v>1646</v>
      </c>
      <c r="I175" s="33" t="s">
        <v>1647</v>
      </c>
      <c r="J175" s="32" t="s">
        <v>2376</v>
      </c>
    </row>
    <row r="176" spans="1:10" ht="48" customHeight="1" x14ac:dyDescent="0.35">
      <c r="A176" s="20" t="s">
        <v>313</v>
      </c>
      <c r="B176" s="20" t="s">
        <v>501</v>
      </c>
      <c r="C176" s="19" t="s">
        <v>77</v>
      </c>
      <c r="D176" s="21">
        <v>1</v>
      </c>
      <c r="E176" s="19">
        <v>1</v>
      </c>
      <c r="F176" s="19">
        <v>7</v>
      </c>
      <c r="G176" s="20" t="s">
        <v>2471</v>
      </c>
      <c r="H176" s="19" t="s">
        <v>1646</v>
      </c>
      <c r="I176" s="26" t="s">
        <v>1647</v>
      </c>
      <c r="J176" s="24" t="s">
        <v>2376</v>
      </c>
    </row>
    <row r="177" spans="1:10" ht="48" customHeight="1" x14ac:dyDescent="0.35">
      <c r="A177" s="28" t="s">
        <v>313</v>
      </c>
      <c r="B177" s="28" t="s">
        <v>2464</v>
      </c>
      <c r="C177" s="27" t="s">
        <v>77</v>
      </c>
      <c r="D177" s="29">
        <v>14</v>
      </c>
      <c r="E177" s="27">
        <v>5</v>
      </c>
      <c r="F177" s="27">
        <v>6</v>
      </c>
      <c r="G177" s="28" t="s">
        <v>2472</v>
      </c>
      <c r="H177" s="27" t="s">
        <v>1646</v>
      </c>
      <c r="I177" s="33" t="s">
        <v>1647</v>
      </c>
      <c r="J177" s="32" t="s">
        <v>2376</v>
      </c>
    </row>
    <row r="178" spans="1:10" ht="48" customHeight="1" x14ac:dyDescent="0.35">
      <c r="A178" s="20" t="s">
        <v>313</v>
      </c>
      <c r="B178" s="20" t="s">
        <v>495</v>
      </c>
      <c r="C178" s="19" t="s">
        <v>208</v>
      </c>
      <c r="D178" s="21">
        <v>0</v>
      </c>
      <c r="E178" s="19">
        <v>0</v>
      </c>
      <c r="F178" s="19"/>
      <c r="G178" s="20"/>
      <c r="H178" s="19" t="s">
        <v>1650</v>
      </c>
      <c r="I178" s="26" t="s">
        <v>1651</v>
      </c>
      <c r="J178" s="24" t="s">
        <v>2376</v>
      </c>
    </row>
    <row r="179" spans="1:10" ht="48" customHeight="1" x14ac:dyDescent="0.35">
      <c r="A179" s="28" t="s">
        <v>313</v>
      </c>
      <c r="B179" s="28" t="s">
        <v>501</v>
      </c>
      <c r="C179" s="27" t="s">
        <v>208</v>
      </c>
      <c r="D179" s="29">
        <v>1</v>
      </c>
      <c r="E179" s="27">
        <v>1</v>
      </c>
      <c r="F179" s="27">
        <v>5</v>
      </c>
      <c r="G179" s="28" t="s">
        <v>2473</v>
      </c>
      <c r="H179" s="27" t="s">
        <v>1650</v>
      </c>
      <c r="I179" s="33" t="s">
        <v>1651</v>
      </c>
      <c r="J179" s="32" t="s">
        <v>2376</v>
      </c>
    </row>
    <row r="180" spans="1:10" ht="48" customHeight="1" x14ac:dyDescent="0.35">
      <c r="A180" s="20" t="s">
        <v>313</v>
      </c>
      <c r="B180" s="20" t="s">
        <v>2464</v>
      </c>
      <c r="C180" s="19" t="s">
        <v>208</v>
      </c>
      <c r="D180" s="21">
        <v>14</v>
      </c>
      <c r="E180" s="19">
        <v>7</v>
      </c>
      <c r="F180" s="19">
        <v>5</v>
      </c>
      <c r="G180" s="20" t="s">
        <v>2473</v>
      </c>
      <c r="H180" s="19" t="s">
        <v>1650</v>
      </c>
      <c r="I180" s="26" t="s">
        <v>1651</v>
      </c>
      <c r="J180" s="24" t="s">
        <v>2376</v>
      </c>
    </row>
    <row r="181" spans="1:10" ht="48" customHeight="1" x14ac:dyDescent="0.35">
      <c r="A181" s="28" t="s">
        <v>313</v>
      </c>
      <c r="B181" s="28" t="s">
        <v>495</v>
      </c>
      <c r="C181" s="27" t="s">
        <v>397</v>
      </c>
      <c r="D181" s="29">
        <v>0</v>
      </c>
      <c r="E181" s="27">
        <v>0</v>
      </c>
      <c r="F181" s="27"/>
      <c r="G181" s="28"/>
      <c r="H181" s="27" t="s">
        <v>1654</v>
      </c>
      <c r="I181" s="33" t="s">
        <v>1655</v>
      </c>
      <c r="J181" s="32" t="s">
        <v>2376</v>
      </c>
    </row>
    <row r="182" spans="1:10" ht="48" customHeight="1" x14ac:dyDescent="0.35">
      <c r="A182" s="20" t="s">
        <v>313</v>
      </c>
      <c r="B182" s="20" t="s">
        <v>501</v>
      </c>
      <c r="C182" s="19" t="s">
        <v>397</v>
      </c>
      <c r="D182" s="21">
        <v>0</v>
      </c>
      <c r="E182" s="19">
        <v>0</v>
      </c>
      <c r="F182" s="19"/>
      <c r="G182" s="20"/>
      <c r="H182" s="19" t="s">
        <v>1654</v>
      </c>
      <c r="I182" s="26" t="s">
        <v>1655</v>
      </c>
      <c r="J182" s="24" t="s">
        <v>2376</v>
      </c>
    </row>
    <row r="183" spans="1:10" ht="48" customHeight="1" x14ac:dyDescent="0.35">
      <c r="A183" s="28" t="s">
        <v>313</v>
      </c>
      <c r="B183" s="28" t="s">
        <v>2464</v>
      </c>
      <c r="C183" s="27" t="s">
        <v>397</v>
      </c>
      <c r="D183" s="29">
        <v>3</v>
      </c>
      <c r="E183" s="27">
        <v>2</v>
      </c>
      <c r="F183" s="27">
        <v>11</v>
      </c>
      <c r="G183" s="28" t="s">
        <v>2474</v>
      </c>
      <c r="H183" s="27" t="s">
        <v>1654</v>
      </c>
      <c r="I183" s="33" t="s">
        <v>1655</v>
      </c>
      <c r="J183" s="32" t="s">
        <v>2376</v>
      </c>
    </row>
    <row r="184" spans="1:10" ht="48" customHeight="1" x14ac:dyDescent="0.35">
      <c r="A184" s="20" t="s">
        <v>304</v>
      </c>
      <c r="B184" s="20" t="s">
        <v>512</v>
      </c>
      <c r="C184" s="19" t="s">
        <v>147</v>
      </c>
      <c r="D184" s="21">
        <v>0</v>
      </c>
      <c r="E184" s="19">
        <v>0</v>
      </c>
      <c r="F184" s="19"/>
      <c r="G184" s="20"/>
      <c r="H184" s="19" t="s">
        <v>1605</v>
      </c>
      <c r="I184" s="26" t="s">
        <v>1606</v>
      </c>
      <c r="J184" s="24" t="s">
        <v>2376</v>
      </c>
    </row>
    <row r="185" spans="1:10" ht="48" customHeight="1" x14ac:dyDescent="0.35">
      <c r="A185" s="28" t="s">
        <v>304</v>
      </c>
      <c r="B185" s="28" t="s">
        <v>512</v>
      </c>
      <c r="C185" s="27" t="s">
        <v>183</v>
      </c>
      <c r="D185" s="29">
        <v>0</v>
      </c>
      <c r="E185" s="27">
        <v>0</v>
      </c>
      <c r="F185" s="27"/>
      <c r="G185" s="28"/>
      <c r="H185" s="27" t="s">
        <v>1609</v>
      </c>
      <c r="I185" s="33" t="s">
        <v>1610</v>
      </c>
      <c r="J185" s="32" t="s">
        <v>2376</v>
      </c>
    </row>
    <row r="186" spans="1:10" ht="48" customHeight="1" x14ac:dyDescent="0.35">
      <c r="A186" s="20" t="s">
        <v>304</v>
      </c>
      <c r="B186" s="20" t="s">
        <v>512</v>
      </c>
      <c r="C186" s="19" t="s">
        <v>89</v>
      </c>
      <c r="D186" s="21">
        <v>0</v>
      </c>
      <c r="E186" s="19">
        <v>0</v>
      </c>
      <c r="F186" s="19"/>
      <c r="G186" s="20"/>
      <c r="H186" s="19" t="s">
        <v>1613</v>
      </c>
      <c r="I186" s="26" t="s">
        <v>1614</v>
      </c>
      <c r="J186" s="24" t="s">
        <v>2376</v>
      </c>
    </row>
    <row r="187" spans="1:10" ht="48" customHeight="1" x14ac:dyDescent="0.35">
      <c r="A187" s="28" t="s">
        <v>304</v>
      </c>
      <c r="B187" s="28" t="s">
        <v>512</v>
      </c>
      <c r="C187" s="27" t="s">
        <v>156</v>
      </c>
      <c r="D187" s="29">
        <v>0</v>
      </c>
      <c r="E187" s="27">
        <v>0</v>
      </c>
      <c r="F187" s="27"/>
      <c r="G187" s="28"/>
      <c r="H187" s="27" t="s">
        <v>1617</v>
      </c>
      <c r="I187" s="33" t="s">
        <v>1618</v>
      </c>
      <c r="J187" s="32" t="s">
        <v>2376</v>
      </c>
    </row>
    <row r="188" spans="1:10" ht="48" customHeight="1" x14ac:dyDescent="0.35">
      <c r="A188" s="20" t="s">
        <v>304</v>
      </c>
      <c r="B188" s="20" t="s">
        <v>512</v>
      </c>
      <c r="C188" s="19" t="s">
        <v>77</v>
      </c>
      <c r="D188" s="21">
        <v>5</v>
      </c>
      <c r="E188" s="19">
        <v>5</v>
      </c>
      <c r="F188" s="19">
        <v>13</v>
      </c>
      <c r="G188" s="20" t="s">
        <v>2475</v>
      </c>
      <c r="H188" s="19" t="s">
        <v>1621</v>
      </c>
      <c r="I188" s="26" t="s">
        <v>515</v>
      </c>
      <c r="J188" s="24" t="s">
        <v>2376</v>
      </c>
    </row>
    <row r="189" spans="1:10" ht="48" customHeight="1" x14ac:dyDescent="0.35">
      <c r="A189" s="28" t="s">
        <v>304</v>
      </c>
      <c r="B189" s="28" t="s">
        <v>512</v>
      </c>
      <c r="C189" s="27" t="s">
        <v>208</v>
      </c>
      <c r="D189" s="29">
        <v>6</v>
      </c>
      <c r="E189" s="27">
        <v>4</v>
      </c>
      <c r="F189" s="27">
        <v>8</v>
      </c>
      <c r="G189" s="28" t="s">
        <v>2476</v>
      </c>
      <c r="H189" s="27" t="s">
        <v>1624</v>
      </c>
      <c r="I189" s="33" t="s">
        <v>1625</v>
      </c>
      <c r="J189" s="32" t="s">
        <v>2376</v>
      </c>
    </row>
    <row r="190" spans="1:10" ht="48" customHeight="1" x14ac:dyDescent="0.35">
      <c r="A190" s="20" t="s">
        <v>304</v>
      </c>
      <c r="B190" s="20" t="s">
        <v>512</v>
      </c>
      <c r="C190" s="19" t="s">
        <v>397</v>
      </c>
      <c r="D190" s="21">
        <v>7</v>
      </c>
      <c r="E190" s="19">
        <v>5</v>
      </c>
      <c r="F190" s="19">
        <v>7</v>
      </c>
      <c r="G190" s="20" t="s">
        <v>2477</v>
      </c>
      <c r="H190" s="19" t="s">
        <v>1628</v>
      </c>
      <c r="I190" s="26" t="s">
        <v>1629</v>
      </c>
      <c r="J190" s="24" t="s">
        <v>2376</v>
      </c>
    </row>
    <row r="191" spans="1:10" ht="48" customHeight="1" x14ac:dyDescent="0.35">
      <c r="A191" s="28" t="s">
        <v>2478</v>
      </c>
      <c r="B191" s="28" t="s">
        <v>1939</v>
      </c>
      <c r="C191" s="27" t="s">
        <v>147</v>
      </c>
      <c r="D191" s="29">
        <v>0</v>
      </c>
      <c r="E191" s="27">
        <v>0</v>
      </c>
      <c r="F191" s="27"/>
      <c r="G191" s="28"/>
      <c r="H191" s="27" t="s">
        <v>1658</v>
      </c>
      <c r="I191" s="33" t="s">
        <v>1659</v>
      </c>
      <c r="J191" s="32" t="s">
        <v>2376</v>
      </c>
    </row>
    <row r="192" spans="1:10" ht="48" customHeight="1" x14ac:dyDescent="0.35">
      <c r="A192" s="20" t="s">
        <v>2478</v>
      </c>
      <c r="B192" s="20" t="s">
        <v>518</v>
      </c>
      <c r="C192" s="19" t="s">
        <v>147</v>
      </c>
      <c r="D192" s="21">
        <v>0</v>
      </c>
      <c r="E192" s="19">
        <v>0</v>
      </c>
      <c r="F192" s="19"/>
      <c r="G192" s="20"/>
      <c r="H192" s="19" t="s">
        <v>1658</v>
      </c>
      <c r="I192" s="26" t="s">
        <v>1659</v>
      </c>
      <c r="J192" s="24" t="s">
        <v>2376</v>
      </c>
    </row>
    <row r="193" spans="1:10" ht="48" customHeight="1" x14ac:dyDescent="0.35">
      <c r="A193" s="28" t="s">
        <v>2478</v>
      </c>
      <c r="B193" s="28" t="s">
        <v>1939</v>
      </c>
      <c r="C193" s="27" t="s">
        <v>183</v>
      </c>
      <c r="D193" s="29">
        <v>0</v>
      </c>
      <c r="E193" s="27">
        <v>0</v>
      </c>
      <c r="F193" s="27"/>
      <c r="G193" s="28"/>
      <c r="H193" s="27" t="s">
        <v>1663</v>
      </c>
      <c r="I193" s="33" t="s">
        <v>1664</v>
      </c>
      <c r="J193" s="32" t="s">
        <v>2376</v>
      </c>
    </row>
    <row r="194" spans="1:10" ht="48" customHeight="1" x14ac:dyDescent="0.35">
      <c r="A194" s="20" t="s">
        <v>2478</v>
      </c>
      <c r="B194" s="20" t="s">
        <v>518</v>
      </c>
      <c r="C194" s="19" t="s">
        <v>183</v>
      </c>
      <c r="D194" s="21">
        <v>0</v>
      </c>
      <c r="E194" s="19">
        <v>0</v>
      </c>
      <c r="F194" s="19"/>
      <c r="G194" s="20"/>
      <c r="H194" s="19" t="s">
        <v>1663</v>
      </c>
      <c r="I194" s="26" t="s">
        <v>1664</v>
      </c>
      <c r="J194" s="24" t="s">
        <v>2376</v>
      </c>
    </row>
    <row r="195" spans="1:10" ht="48" customHeight="1" x14ac:dyDescent="0.35">
      <c r="A195" s="28" t="s">
        <v>2478</v>
      </c>
      <c r="B195" s="28" t="s">
        <v>1939</v>
      </c>
      <c r="C195" s="27" t="s">
        <v>89</v>
      </c>
      <c r="D195" s="29">
        <v>0</v>
      </c>
      <c r="E195" s="27">
        <v>0</v>
      </c>
      <c r="F195" s="27"/>
      <c r="G195" s="28"/>
      <c r="H195" s="27" t="s">
        <v>1667</v>
      </c>
      <c r="I195" s="33" t="s">
        <v>1668</v>
      </c>
      <c r="J195" s="32" t="s">
        <v>2376</v>
      </c>
    </row>
    <row r="196" spans="1:10" ht="48" customHeight="1" x14ac:dyDescent="0.35">
      <c r="A196" s="20" t="s">
        <v>2478</v>
      </c>
      <c r="B196" s="20" t="s">
        <v>518</v>
      </c>
      <c r="C196" s="19" t="s">
        <v>89</v>
      </c>
      <c r="D196" s="21">
        <v>0</v>
      </c>
      <c r="E196" s="19">
        <v>0</v>
      </c>
      <c r="F196" s="19"/>
      <c r="G196" s="20"/>
      <c r="H196" s="19" t="s">
        <v>1667</v>
      </c>
      <c r="I196" s="26" t="s">
        <v>1668</v>
      </c>
      <c r="J196" s="24" t="s">
        <v>2376</v>
      </c>
    </row>
    <row r="197" spans="1:10" ht="48" customHeight="1" x14ac:dyDescent="0.35">
      <c r="A197" s="28" t="s">
        <v>2478</v>
      </c>
      <c r="B197" s="28" t="s">
        <v>1939</v>
      </c>
      <c r="C197" s="27" t="s">
        <v>156</v>
      </c>
      <c r="D197" s="29">
        <v>3</v>
      </c>
      <c r="E197" s="27">
        <v>3</v>
      </c>
      <c r="F197" s="27">
        <v>60</v>
      </c>
      <c r="G197" s="28" t="s">
        <v>2479</v>
      </c>
      <c r="H197" s="27" t="s">
        <v>1671</v>
      </c>
      <c r="I197" s="33" t="s">
        <v>531</v>
      </c>
      <c r="J197" s="32" t="s">
        <v>2376</v>
      </c>
    </row>
    <row r="198" spans="1:10" ht="48" customHeight="1" x14ac:dyDescent="0.35">
      <c r="A198" s="20" t="s">
        <v>2478</v>
      </c>
      <c r="B198" s="20" t="s">
        <v>518</v>
      </c>
      <c r="C198" s="19" t="s">
        <v>156</v>
      </c>
      <c r="D198" s="21">
        <v>2</v>
      </c>
      <c r="E198" s="19">
        <v>2</v>
      </c>
      <c r="F198" s="19">
        <v>77</v>
      </c>
      <c r="G198" s="20" t="s">
        <v>2480</v>
      </c>
      <c r="H198" s="19" t="s">
        <v>1671</v>
      </c>
      <c r="I198" s="26" t="s">
        <v>531</v>
      </c>
      <c r="J198" s="24" t="s">
        <v>2376</v>
      </c>
    </row>
    <row r="199" spans="1:10" ht="48" customHeight="1" x14ac:dyDescent="0.35">
      <c r="A199" s="28" t="s">
        <v>2478</v>
      </c>
      <c r="B199" s="28" t="s">
        <v>1939</v>
      </c>
      <c r="C199" s="27" t="s">
        <v>77</v>
      </c>
      <c r="D199" s="29">
        <v>2</v>
      </c>
      <c r="E199" s="27">
        <v>1</v>
      </c>
      <c r="F199" s="27">
        <v>32</v>
      </c>
      <c r="G199" s="28" t="s">
        <v>2481</v>
      </c>
      <c r="H199" s="27" t="s">
        <v>1674</v>
      </c>
      <c r="I199" s="33" t="s">
        <v>1675</v>
      </c>
      <c r="J199" s="32" t="s">
        <v>2376</v>
      </c>
    </row>
    <row r="200" spans="1:10" ht="48" customHeight="1" x14ac:dyDescent="0.35">
      <c r="A200" s="20" t="s">
        <v>2478</v>
      </c>
      <c r="B200" s="20" t="s">
        <v>518</v>
      </c>
      <c r="C200" s="19" t="s">
        <v>77</v>
      </c>
      <c r="D200" s="21">
        <v>1</v>
      </c>
      <c r="E200" s="19">
        <v>1</v>
      </c>
      <c r="F200" s="19">
        <v>32</v>
      </c>
      <c r="G200" s="20" t="s">
        <v>2481</v>
      </c>
      <c r="H200" s="19" t="s">
        <v>1674</v>
      </c>
      <c r="I200" s="26" t="s">
        <v>1675</v>
      </c>
      <c r="J200" s="24" t="s">
        <v>2376</v>
      </c>
    </row>
    <row r="201" spans="1:10" ht="48" customHeight="1" x14ac:dyDescent="0.35">
      <c r="A201" s="28" t="s">
        <v>2478</v>
      </c>
      <c r="B201" s="28" t="s">
        <v>1939</v>
      </c>
      <c r="C201" s="27" t="s">
        <v>208</v>
      </c>
      <c r="D201" s="29">
        <v>3</v>
      </c>
      <c r="E201" s="27">
        <v>1</v>
      </c>
      <c r="F201" s="27">
        <v>34</v>
      </c>
      <c r="G201" s="28" t="s">
        <v>2482</v>
      </c>
      <c r="H201" s="27" t="s">
        <v>1678</v>
      </c>
      <c r="I201" s="33" t="s">
        <v>1679</v>
      </c>
      <c r="J201" s="32" t="s">
        <v>2376</v>
      </c>
    </row>
    <row r="202" spans="1:10" ht="48" customHeight="1" x14ac:dyDescent="0.35">
      <c r="A202" s="20" t="s">
        <v>2478</v>
      </c>
      <c r="B202" s="20" t="s">
        <v>518</v>
      </c>
      <c r="C202" s="19" t="s">
        <v>208</v>
      </c>
      <c r="D202" s="21">
        <v>2</v>
      </c>
      <c r="E202" s="19">
        <v>1</v>
      </c>
      <c r="F202" s="19">
        <v>34</v>
      </c>
      <c r="G202" s="20" t="s">
        <v>2482</v>
      </c>
      <c r="H202" s="19" t="s">
        <v>1678</v>
      </c>
      <c r="I202" s="26" t="s">
        <v>1679</v>
      </c>
      <c r="J202" s="24" t="s">
        <v>2376</v>
      </c>
    </row>
    <row r="203" spans="1:10" ht="48" customHeight="1" x14ac:dyDescent="0.35">
      <c r="A203" s="28" t="s">
        <v>2478</v>
      </c>
      <c r="B203" s="28" t="s">
        <v>1939</v>
      </c>
      <c r="C203" s="27" t="s">
        <v>397</v>
      </c>
      <c r="D203" s="29">
        <v>2</v>
      </c>
      <c r="E203" s="27">
        <v>1</v>
      </c>
      <c r="F203" s="27">
        <v>47</v>
      </c>
      <c r="G203" s="28" t="s">
        <v>2483</v>
      </c>
      <c r="H203" s="27" t="s">
        <v>1682</v>
      </c>
      <c r="I203" s="33" t="s">
        <v>1683</v>
      </c>
      <c r="J203" s="32" t="s">
        <v>2376</v>
      </c>
    </row>
    <row r="204" spans="1:10" ht="48" customHeight="1" x14ac:dyDescent="0.35">
      <c r="A204" s="20" t="s">
        <v>2478</v>
      </c>
      <c r="B204" s="20" t="s">
        <v>518</v>
      </c>
      <c r="C204" s="19" t="s">
        <v>397</v>
      </c>
      <c r="D204" s="21">
        <v>1</v>
      </c>
      <c r="E204" s="19">
        <v>1</v>
      </c>
      <c r="F204" s="19">
        <v>47</v>
      </c>
      <c r="G204" s="20" t="s">
        <v>2484</v>
      </c>
      <c r="H204" s="19" t="s">
        <v>1682</v>
      </c>
      <c r="I204" s="26" t="s">
        <v>1683</v>
      </c>
      <c r="J204" s="24" t="s">
        <v>2376</v>
      </c>
    </row>
  </sheetData>
  <autoFilter ref="A1:J204" xr:uid="{00000000-0009-0000-0000-00000A000000}"/>
  <hyperlinks>
    <hyperlink ref="I2" r:id="rId1" xr:uid="{00000000-0004-0000-0A00-000000000000}"/>
    <hyperlink ref="I3" r:id="rId2" xr:uid="{00000000-0004-0000-0A00-000001000000}"/>
    <hyperlink ref="I4" r:id="rId3" xr:uid="{00000000-0004-0000-0A00-000002000000}"/>
    <hyperlink ref="I5" r:id="rId4" xr:uid="{00000000-0004-0000-0A00-000003000000}"/>
    <hyperlink ref="I6" r:id="rId5" xr:uid="{00000000-0004-0000-0A00-000004000000}"/>
    <hyperlink ref="I7" r:id="rId6" xr:uid="{00000000-0004-0000-0A00-000005000000}"/>
    <hyperlink ref="I8" r:id="rId7" xr:uid="{00000000-0004-0000-0A00-000006000000}"/>
    <hyperlink ref="I9" r:id="rId8" xr:uid="{00000000-0004-0000-0A00-000007000000}"/>
    <hyperlink ref="I10" r:id="rId9" xr:uid="{00000000-0004-0000-0A00-000008000000}"/>
    <hyperlink ref="I11" r:id="rId10" xr:uid="{00000000-0004-0000-0A00-000009000000}"/>
    <hyperlink ref="I12" r:id="rId11" xr:uid="{00000000-0004-0000-0A00-00000A000000}"/>
    <hyperlink ref="I13" r:id="rId12" xr:uid="{00000000-0004-0000-0A00-00000B000000}"/>
    <hyperlink ref="I14" r:id="rId13" xr:uid="{00000000-0004-0000-0A00-00000C000000}"/>
    <hyperlink ref="I15" r:id="rId14" xr:uid="{00000000-0004-0000-0A00-00000D000000}"/>
    <hyperlink ref="I16" r:id="rId15" xr:uid="{00000000-0004-0000-0A00-00000E000000}"/>
    <hyperlink ref="I17" r:id="rId16" xr:uid="{00000000-0004-0000-0A00-00000F000000}"/>
    <hyperlink ref="I18" r:id="rId17" xr:uid="{00000000-0004-0000-0A00-000010000000}"/>
    <hyperlink ref="I19" r:id="rId18" xr:uid="{00000000-0004-0000-0A00-000011000000}"/>
    <hyperlink ref="I20" r:id="rId19" xr:uid="{00000000-0004-0000-0A00-000012000000}"/>
    <hyperlink ref="I21" r:id="rId20" xr:uid="{00000000-0004-0000-0A00-000013000000}"/>
    <hyperlink ref="I22" r:id="rId21" xr:uid="{00000000-0004-0000-0A00-000014000000}"/>
    <hyperlink ref="I23" r:id="rId22" xr:uid="{00000000-0004-0000-0A00-000015000000}"/>
    <hyperlink ref="I24" r:id="rId23" xr:uid="{00000000-0004-0000-0A00-000016000000}"/>
    <hyperlink ref="I25" r:id="rId24" xr:uid="{00000000-0004-0000-0A00-000017000000}"/>
    <hyperlink ref="I26" r:id="rId25" xr:uid="{00000000-0004-0000-0A00-000018000000}"/>
    <hyperlink ref="I27" r:id="rId26" xr:uid="{00000000-0004-0000-0A00-000019000000}"/>
    <hyperlink ref="I28" r:id="rId27" xr:uid="{00000000-0004-0000-0A00-00001A000000}"/>
    <hyperlink ref="I29" r:id="rId28" xr:uid="{00000000-0004-0000-0A00-00001B000000}"/>
    <hyperlink ref="I30" r:id="rId29" xr:uid="{00000000-0004-0000-0A00-00001C000000}"/>
    <hyperlink ref="I31" r:id="rId30" xr:uid="{00000000-0004-0000-0A00-00001D000000}"/>
    <hyperlink ref="I32" r:id="rId31" xr:uid="{00000000-0004-0000-0A00-00001E000000}"/>
    <hyperlink ref="I33" r:id="rId32" xr:uid="{00000000-0004-0000-0A00-00001F000000}"/>
    <hyperlink ref="I34" r:id="rId33" xr:uid="{00000000-0004-0000-0A00-000020000000}"/>
    <hyperlink ref="I35" r:id="rId34" xr:uid="{00000000-0004-0000-0A00-000021000000}"/>
    <hyperlink ref="I36" r:id="rId35" xr:uid="{00000000-0004-0000-0A00-000022000000}"/>
    <hyperlink ref="I37" r:id="rId36" xr:uid="{00000000-0004-0000-0A00-000023000000}"/>
    <hyperlink ref="I38" r:id="rId37" xr:uid="{00000000-0004-0000-0A00-000024000000}"/>
    <hyperlink ref="I39" r:id="rId38" xr:uid="{00000000-0004-0000-0A00-000025000000}"/>
    <hyperlink ref="I40" r:id="rId39" xr:uid="{00000000-0004-0000-0A00-000026000000}"/>
    <hyperlink ref="I41" r:id="rId40" xr:uid="{00000000-0004-0000-0A00-000027000000}"/>
    <hyperlink ref="I42" r:id="rId41" xr:uid="{00000000-0004-0000-0A00-000028000000}"/>
    <hyperlink ref="I43" r:id="rId42" xr:uid="{00000000-0004-0000-0A00-000029000000}"/>
    <hyperlink ref="I44" r:id="rId43" xr:uid="{00000000-0004-0000-0A00-00002A000000}"/>
    <hyperlink ref="I45" r:id="rId44" xr:uid="{00000000-0004-0000-0A00-00002B000000}"/>
    <hyperlink ref="I46" r:id="rId45" xr:uid="{00000000-0004-0000-0A00-00002C000000}"/>
    <hyperlink ref="I47" r:id="rId46" xr:uid="{00000000-0004-0000-0A00-00002D000000}"/>
    <hyperlink ref="I48" r:id="rId47" xr:uid="{00000000-0004-0000-0A00-00002E000000}"/>
    <hyperlink ref="I49" r:id="rId48" xr:uid="{00000000-0004-0000-0A00-00002F000000}"/>
    <hyperlink ref="I50" r:id="rId49" xr:uid="{00000000-0004-0000-0A00-000030000000}"/>
    <hyperlink ref="I51" r:id="rId50" xr:uid="{00000000-0004-0000-0A00-000031000000}"/>
    <hyperlink ref="I52" r:id="rId51" xr:uid="{00000000-0004-0000-0A00-000032000000}"/>
    <hyperlink ref="I53" r:id="rId52" xr:uid="{00000000-0004-0000-0A00-000033000000}"/>
    <hyperlink ref="I54" r:id="rId53" xr:uid="{00000000-0004-0000-0A00-000034000000}"/>
    <hyperlink ref="I55" r:id="rId54" xr:uid="{00000000-0004-0000-0A00-000035000000}"/>
    <hyperlink ref="I56" r:id="rId55" xr:uid="{00000000-0004-0000-0A00-000036000000}"/>
    <hyperlink ref="I57" r:id="rId56" xr:uid="{00000000-0004-0000-0A00-000037000000}"/>
    <hyperlink ref="I58" r:id="rId57" xr:uid="{00000000-0004-0000-0A00-000038000000}"/>
    <hyperlink ref="I59" r:id="rId58" xr:uid="{00000000-0004-0000-0A00-000039000000}"/>
    <hyperlink ref="I60" r:id="rId59" xr:uid="{00000000-0004-0000-0A00-00003A000000}"/>
    <hyperlink ref="I61" r:id="rId60" xr:uid="{00000000-0004-0000-0A00-00003B000000}"/>
    <hyperlink ref="I62" r:id="rId61" xr:uid="{00000000-0004-0000-0A00-00003C000000}"/>
    <hyperlink ref="I63" r:id="rId62" xr:uid="{00000000-0004-0000-0A00-00003D000000}"/>
    <hyperlink ref="I64" r:id="rId63" xr:uid="{00000000-0004-0000-0A00-00003E000000}"/>
    <hyperlink ref="I65" r:id="rId64" xr:uid="{00000000-0004-0000-0A00-00003F000000}"/>
    <hyperlink ref="I66" r:id="rId65" xr:uid="{00000000-0004-0000-0A00-000040000000}"/>
    <hyperlink ref="I67" r:id="rId66" xr:uid="{00000000-0004-0000-0A00-000041000000}"/>
    <hyperlink ref="I68" r:id="rId67" xr:uid="{00000000-0004-0000-0A00-000042000000}"/>
    <hyperlink ref="I69" r:id="rId68" xr:uid="{00000000-0004-0000-0A00-000043000000}"/>
    <hyperlink ref="I70" r:id="rId69" xr:uid="{00000000-0004-0000-0A00-000044000000}"/>
    <hyperlink ref="I71" r:id="rId70" xr:uid="{00000000-0004-0000-0A00-000045000000}"/>
    <hyperlink ref="I72" r:id="rId71" xr:uid="{00000000-0004-0000-0A00-000046000000}"/>
    <hyperlink ref="I73" r:id="rId72" xr:uid="{00000000-0004-0000-0A00-000047000000}"/>
    <hyperlink ref="I74" r:id="rId73" xr:uid="{00000000-0004-0000-0A00-000048000000}"/>
    <hyperlink ref="I75" r:id="rId74" xr:uid="{00000000-0004-0000-0A00-000049000000}"/>
    <hyperlink ref="I76" r:id="rId75" xr:uid="{00000000-0004-0000-0A00-00004A000000}"/>
    <hyperlink ref="I77" r:id="rId76" xr:uid="{00000000-0004-0000-0A00-00004B000000}"/>
    <hyperlink ref="I78" r:id="rId77" xr:uid="{00000000-0004-0000-0A00-00004C000000}"/>
    <hyperlink ref="I79" r:id="rId78" xr:uid="{00000000-0004-0000-0A00-00004D000000}"/>
    <hyperlink ref="I80" r:id="rId79" xr:uid="{00000000-0004-0000-0A00-00004E000000}"/>
    <hyperlink ref="I81" r:id="rId80" xr:uid="{00000000-0004-0000-0A00-00004F000000}"/>
    <hyperlink ref="I82" r:id="rId81" xr:uid="{00000000-0004-0000-0A00-000050000000}"/>
    <hyperlink ref="I83" r:id="rId82" xr:uid="{00000000-0004-0000-0A00-000051000000}"/>
    <hyperlink ref="I84" r:id="rId83" xr:uid="{00000000-0004-0000-0A00-000052000000}"/>
    <hyperlink ref="I85" r:id="rId84" xr:uid="{00000000-0004-0000-0A00-000053000000}"/>
    <hyperlink ref="I86" r:id="rId85" xr:uid="{00000000-0004-0000-0A00-000054000000}"/>
    <hyperlink ref="I87" r:id="rId86" xr:uid="{00000000-0004-0000-0A00-000055000000}"/>
    <hyperlink ref="I88" r:id="rId87" xr:uid="{00000000-0004-0000-0A00-000056000000}"/>
    <hyperlink ref="I89" r:id="rId88" xr:uid="{00000000-0004-0000-0A00-000057000000}"/>
    <hyperlink ref="I90" r:id="rId89" xr:uid="{00000000-0004-0000-0A00-000058000000}"/>
    <hyperlink ref="I91" r:id="rId90" xr:uid="{00000000-0004-0000-0A00-000059000000}"/>
    <hyperlink ref="I92" r:id="rId91" xr:uid="{00000000-0004-0000-0A00-00005A000000}"/>
    <hyperlink ref="I93" r:id="rId92" xr:uid="{00000000-0004-0000-0A00-00005B000000}"/>
    <hyperlink ref="I94" r:id="rId93" xr:uid="{00000000-0004-0000-0A00-00005C000000}"/>
    <hyperlink ref="I95" r:id="rId94" xr:uid="{00000000-0004-0000-0A00-00005D000000}"/>
    <hyperlink ref="I96" r:id="rId95" xr:uid="{00000000-0004-0000-0A00-00005E000000}"/>
    <hyperlink ref="I97" r:id="rId96" xr:uid="{00000000-0004-0000-0A00-00005F000000}"/>
    <hyperlink ref="I98" r:id="rId97" xr:uid="{00000000-0004-0000-0A00-000060000000}"/>
    <hyperlink ref="I99" r:id="rId98" xr:uid="{00000000-0004-0000-0A00-000061000000}"/>
    <hyperlink ref="I100" r:id="rId99" xr:uid="{00000000-0004-0000-0A00-000062000000}"/>
    <hyperlink ref="I101" r:id="rId100" xr:uid="{00000000-0004-0000-0A00-000063000000}"/>
    <hyperlink ref="I102" r:id="rId101" xr:uid="{00000000-0004-0000-0A00-000064000000}"/>
    <hyperlink ref="I103" r:id="rId102" xr:uid="{00000000-0004-0000-0A00-000065000000}"/>
    <hyperlink ref="I104" r:id="rId103" xr:uid="{00000000-0004-0000-0A00-000066000000}"/>
    <hyperlink ref="I105" r:id="rId104" xr:uid="{00000000-0004-0000-0A00-000067000000}"/>
    <hyperlink ref="I106" r:id="rId105" xr:uid="{00000000-0004-0000-0A00-000068000000}"/>
    <hyperlink ref="I107" r:id="rId106" xr:uid="{00000000-0004-0000-0A00-000069000000}"/>
    <hyperlink ref="I108" r:id="rId107" xr:uid="{00000000-0004-0000-0A00-00006A000000}"/>
    <hyperlink ref="I109" r:id="rId108" xr:uid="{00000000-0004-0000-0A00-00006B000000}"/>
    <hyperlink ref="I110" r:id="rId109" xr:uid="{00000000-0004-0000-0A00-00006C000000}"/>
    <hyperlink ref="I111" r:id="rId110" xr:uid="{00000000-0004-0000-0A00-00006D000000}"/>
    <hyperlink ref="I112" r:id="rId111" xr:uid="{00000000-0004-0000-0A00-00006E000000}"/>
    <hyperlink ref="I113" r:id="rId112" xr:uid="{00000000-0004-0000-0A00-00006F000000}"/>
    <hyperlink ref="I114" r:id="rId113" xr:uid="{00000000-0004-0000-0A00-000070000000}"/>
    <hyperlink ref="I115" r:id="rId114" xr:uid="{00000000-0004-0000-0A00-000071000000}"/>
    <hyperlink ref="I116" r:id="rId115" xr:uid="{00000000-0004-0000-0A00-000072000000}"/>
    <hyperlink ref="I117" r:id="rId116" xr:uid="{00000000-0004-0000-0A00-000073000000}"/>
    <hyperlink ref="I118" r:id="rId117" xr:uid="{00000000-0004-0000-0A00-000074000000}"/>
    <hyperlink ref="I119" r:id="rId118" xr:uid="{00000000-0004-0000-0A00-000075000000}"/>
    <hyperlink ref="I120" r:id="rId119" xr:uid="{00000000-0004-0000-0A00-000076000000}"/>
    <hyperlink ref="I137" r:id="rId120" xr:uid="{00000000-0004-0000-0A00-000077000000}"/>
    <hyperlink ref="I138" r:id="rId121" xr:uid="{00000000-0004-0000-0A00-000078000000}"/>
    <hyperlink ref="I139" r:id="rId122" xr:uid="{00000000-0004-0000-0A00-000079000000}"/>
    <hyperlink ref="I140" r:id="rId123" xr:uid="{00000000-0004-0000-0A00-00007A000000}"/>
    <hyperlink ref="I141" r:id="rId124" xr:uid="{00000000-0004-0000-0A00-00007B000000}"/>
    <hyperlink ref="I142" r:id="rId125" xr:uid="{00000000-0004-0000-0A00-00007C000000}"/>
    <hyperlink ref="I143" r:id="rId126" xr:uid="{00000000-0004-0000-0A00-00007D000000}"/>
    <hyperlink ref="I144" r:id="rId127" xr:uid="{00000000-0004-0000-0A00-00007E000000}"/>
    <hyperlink ref="I145" r:id="rId128" xr:uid="{00000000-0004-0000-0A00-00007F000000}"/>
    <hyperlink ref="I146" r:id="rId129" xr:uid="{00000000-0004-0000-0A00-000080000000}"/>
    <hyperlink ref="I147" r:id="rId130" xr:uid="{00000000-0004-0000-0A00-000081000000}"/>
    <hyperlink ref="I148" r:id="rId131" xr:uid="{00000000-0004-0000-0A00-000082000000}"/>
    <hyperlink ref="I153" r:id="rId132" xr:uid="{00000000-0004-0000-0A00-000083000000}"/>
    <hyperlink ref="I154" r:id="rId133" xr:uid="{00000000-0004-0000-0A00-000084000000}"/>
    <hyperlink ref="I155" r:id="rId134" xr:uid="{00000000-0004-0000-0A00-000085000000}"/>
    <hyperlink ref="I156" r:id="rId135" xr:uid="{00000000-0004-0000-0A00-000086000000}"/>
    <hyperlink ref="I157" r:id="rId136" xr:uid="{00000000-0004-0000-0A00-000087000000}"/>
    <hyperlink ref="I158" r:id="rId137" xr:uid="{00000000-0004-0000-0A00-000088000000}"/>
    <hyperlink ref="I159" r:id="rId138" xr:uid="{00000000-0004-0000-0A00-000089000000}"/>
    <hyperlink ref="I160" r:id="rId139" xr:uid="{00000000-0004-0000-0A00-00008A000000}"/>
    <hyperlink ref="I161" r:id="rId140" xr:uid="{00000000-0004-0000-0A00-00008B000000}"/>
    <hyperlink ref="I162" r:id="rId141" xr:uid="{00000000-0004-0000-0A00-00008C000000}"/>
    <hyperlink ref="I163" r:id="rId142" xr:uid="{00000000-0004-0000-0A00-00008D000000}"/>
    <hyperlink ref="I164" r:id="rId143" xr:uid="{00000000-0004-0000-0A00-00008E000000}"/>
    <hyperlink ref="I165" r:id="rId144" xr:uid="{00000000-0004-0000-0A00-00008F000000}"/>
    <hyperlink ref="I166" r:id="rId145" xr:uid="{00000000-0004-0000-0A00-000090000000}"/>
    <hyperlink ref="I167" r:id="rId146" xr:uid="{00000000-0004-0000-0A00-000091000000}"/>
    <hyperlink ref="I168" r:id="rId147" xr:uid="{00000000-0004-0000-0A00-000092000000}"/>
    <hyperlink ref="I169" r:id="rId148" xr:uid="{00000000-0004-0000-0A00-000093000000}"/>
    <hyperlink ref="I170" r:id="rId149" xr:uid="{00000000-0004-0000-0A00-000094000000}"/>
    <hyperlink ref="I171" r:id="rId150" xr:uid="{00000000-0004-0000-0A00-000095000000}"/>
    <hyperlink ref="I172" r:id="rId151" xr:uid="{00000000-0004-0000-0A00-000096000000}"/>
    <hyperlink ref="I173" r:id="rId152" xr:uid="{00000000-0004-0000-0A00-000097000000}"/>
    <hyperlink ref="I174" r:id="rId153" xr:uid="{00000000-0004-0000-0A00-000098000000}"/>
    <hyperlink ref="I175" r:id="rId154" xr:uid="{00000000-0004-0000-0A00-000099000000}"/>
    <hyperlink ref="I176" r:id="rId155" xr:uid="{00000000-0004-0000-0A00-00009A000000}"/>
    <hyperlink ref="I177" r:id="rId156" xr:uid="{00000000-0004-0000-0A00-00009B000000}"/>
    <hyperlink ref="I178" r:id="rId157" xr:uid="{00000000-0004-0000-0A00-00009C000000}"/>
    <hyperlink ref="I179" r:id="rId158" xr:uid="{00000000-0004-0000-0A00-00009D000000}"/>
    <hyperlink ref="I180" r:id="rId159" xr:uid="{00000000-0004-0000-0A00-00009E000000}"/>
    <hyperlink ref="I181" r:id="rId160" xr:uid="{00000000-0004-0000-0A00-00009F000000}"/>
    <hyperlink ref="I182" r:id="rId161" xr:uid="{00000000-0004-0000-0A00-0000A0000000}"/>
    <hyperlink ref="I183" r:id="rId162" xr:uid="{00000000-0004-0000-0A00-0000A1000000}"/>
    <hyperlink ref="I184" r:id="rId163" xr:uid="{00000000-0004-0000-0A00-0000A2000000}"/>
    <hyperlink ref="I185" r:id="rId164" xr:uid="{00000000-0004-0000-0A00-0000A3000000}"/>
    <hyperlink ref="I186" r:id="rId165" xr:uid="{00000000-0004-0000-0A00-0000A4000000}"/>
    <hyperlink ref="I187" r:id="rId166" xr:uid="{00000000-0004-0000-0A00-0000A5000000}"/>
    <hyperlink ref="I188" r:id="rId167" xr:uid="{00000000-0004-0000-0A00-0000A6000000}"/>
    <hyperlink ref="I189" r:id="rId168" xr:uid="{00000000-0004-0000-0A00-0000A7000000}"/>
    <hyperlink ref="I190" r:id="rId169" xr:uid="{00000000-0004-0000-0A00-0000A8000000}"/>
    <hyperlink ref="I191" r:id="rId170" xr:uid="{00000000-0004-0000-0A00-0000A9000000}"/>
    <hyperlink ref="I192" r:id="rId171" xr:uid="{00000000-0004-0000-0A00-0000AA000000}"/>
    <hyperlink ref="I193" r:id="rId172" xr:uid="{00000000-0004-0000-0A00-0000AB000000}"/>
    <hyperlink ref="I194" r:id="rId173" xr:uid="{00000000-0004-0000-0A00-0000AC000000}"/>
    <hyperlink ref="I195" r:id="rId174" xr:uid="{00000000-0004-0000-0A00-0000AD000000}"/>
    <hyperlink ref="I196" r:id="rId175" xr:uid="{00000000-0004-0000-0A00-0000AE000000}"/>
    <hyperlink ref="I197" r:id="rId176" xr:uid="{00000000-0004-0000-0A00-0000AF000000}"/>
    <hyperlink ref="I198" r:id="rId177" xr:uid="{00000000-0004-0000-0A00-0000B0000000}"/>
    <hyperlink ref="I199" r:id="rId178" xr:uid="{00000000-0004-0000-0A00-0000B1000000}"/>
    <hyperlink ref="I200" r:id="rId179" xr:uid="{00000000-0004-0000-0A00-0000B2000000}"/>
    <hyperlink ref="I201" r:id="rId180" xr:uid="{00000000-0004-0000-0A00-0000B3000000}"/>
    <hyperlink ref="I202" r:id="rId181" xr:uid="{00000000-0004-0000-0A00-0000B4000000}"/>
    <hyperlink ref="I203" r:id="rId182" xr:uid="{00000000-0004-0000-0A00-0000B5000000}"/>
    <hyperlink ref="I204" r:id="rId183" xr:uid="{00000000-0004-0000-0A00-0000B6000000}"/>
  </hyperlink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4E23"/>
    <pageSetUpPr fitToPage="1"/>
  </sheetPr>
  <dimension ref="A1:H5"/>
  <sheetViews>
    <sheetView zoomScaleNormal="100" workbookViewId="0">
      <pane ySplit="1" topLeftCell="A2" activePane="bottomLeft" state="frozen"/>
      <selection pane="bottomLeft"/>
    </sheetView>
  </sheetViews>
  <sheetFormatPr defaultColWidth="8.6328125" defaultRowHeight="14.5" x14ac:dyDescent="0.35"/>
  <cols>
    <col min="1" max="1" width="46" customWidth="1"/>
    <col min="2" max="2" width="11" customWidth="1"/>
    <col min="3" max="3" width="12" customWidth="1"/>
    <col min="4" max="4" width="9" customWidth="1"/>
    <col min="5" max="5" width="11" customWidth="1"/>
    <col min="6" max="6" width="13" customWidth="1"/>
    <col min="7" max="7" width="60" customWidth="1"/>
    <col min="8" max="8" width="70" customWidth="1"/>
  </cols>
  <sheetData>
    <row r="1" spans="1:8" ht="34" customHeight="1" x14ac:dyDescent="0.35">
      <c r="A1" s="18" t="s">
        <v>2485</v>
      </c>
      <c r="B1" s="18" t="s">
        <v>2486</v>
      </c>
      <c r="C1" s="18" t="s">
        <v>2487</v>
      </c>
      <c r="D1" s="18" t="s">
        <v>2488</v>
      </c>
      <c r="E1" s="18" t="s">
        <v>2489</v>
      </c>
      <c r="F1" s="18" t="s">
        <v>2490</v>
      </c>
      <c r="G1" s="18" t="s">
        <v>2491</v>
      </c>
      <c r="H1" s="18" t="s">
        <v>70</v>
      </c>
    </row>
    <row r="2" spans="1:8" ht="120" customHeight="1" x14ac:dyDescent="0.35">
      <c r="A2" s="20" t="s">
        <v>2492</v>
      </c>
      <c r="B2" s="21">
        <v>6</v>
      </c>
      <c r="C2" s="21">
        <v>21</v>
      </c>
      <c r="D2" s="78">
        <f>IFERROR(B2/C2,"")</f>
        <v>0.2857142857142857</v>
      </c>
      <c r="E2" s="19" t="s">
        <v>2493</v>
      </c>
      <c r="F2" s="19" t="s">
        <v>2494</v>
      </c>
      <c r="G2" s="20" t="s">
        <v>2495</v>
      </c>
      <c r="H2" s="20" t="s">
        <v>2496</v>
      </c>
    </row>
    <row r="3" spans="1:8" ht="120" customHeight="1" x14ac:dyDescent="0.35">
      <c r="A3" s="28" t="s">
        <v>2497</v>
      </c>
      <c r="B3" s="29">
        <v>5</v>
      </c>
      <c r="C3" s="29">
        <v>17</v>
      </c>
      <c r="D3" s="79">
        <f>IFERROR(B3/C3,"")</f>
        <v>0.29411764705882354</v>
      </c>
      <c r="E3" s="27" t="s">
        <v>2498</v>
      </c>
      <c r="F3" s="27" t="s">
        <v>2499</v>
      </c>
      <c r="G3" s="28" t="s">
        <v>2500</v>
      </c>
      <c r="H3" s="28" t="s">
        <v>2501</v>
      </c>
    </row>
    <row r="4" spans="1:8" ht="120" customHeight="1" x14ac:dyDescent="0.35">
      <c r="A4" s="20" t="s">
        <v>2502</v>
      </c>
      <c r="B4" s="21">
        <v>0</v>
      </c>
      <c r="C4" s="21">
        <v>7</v>
      </c>
      <c r="D4" s="78">
        <f>IFERROR(B4/C4,"")</f>
        <v>0</v>
      </c>
      <c r="E4" s="19" t="s">
        <v>2503</v>
      </c>
      <c r="F4" s="19" t="s">
        <v>2504</v>
      </c>
      <c r="G4" s="20" t="s">
        <v>2505</v>
      </c>
      <c r="H4" s="20" t="s">
        <v>2506</v>
      </c>
    </row>
    <row r="5" spans="1:8" ht="120" customHeight="1" x14ac:dyDescent="0.35">
      <c r="A5" s="28" t="s">
        <v>2507</v>
      </c>
      <c r="B5" s="29">
        <v>2</v>
      </c>
      <c r="C5" s="29">
        <v>4</v>
      </c>
      <c r="D5" s="79">
        <f>IFERROR(B5/C5,"")</f>
        <v>0.5</v>
      </c>
      <c r="E5" s="27" t="s">
        <v>2508</v>
      </c>
      <c r="F5" s="27" t="s">
        <v>2509</v>
      </c>
      <c r="G5" s="28" t="s">
        <v>2510</v>
      </c>
      <c r="H5" s="28" t="s">
        <v>2511</v>
      </c>
    </row>
  </sheetData>
  <autoFilter ref="A1:H5" xr:uid="{00000000-0009-0000-0000-00000B000000}"/>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04E23"/>
    <pageSetUpPr fitToPage="1"/>
  </sheetPr>
  <dimension ref="A1:N61"/>
  <sheetViews>
    <sheetView zoomScaleNormal="100" workbookViewId="0">
      <pane ySplit="1" topLeftCell="A2" activePane="bottomLeft" state="frozen"/>
      <selection pane="bottomLeft"/>
    </sheetView>
  </sheetViews>
  <sheetFormatPr defaultColWidth="8.6328125" defaultRowHeight="14.5" x14ac:dyDescent="0.35"/>
  <cols>
    <col min="1" max="1" width="7" customWidth="1"/>
    <col min="2" max="2" width="8" customWidth="1"/>
    <col min="3" max="3" width="11" customWidth="1"/>
    <col min="4" max="4" width="24" customWidth="1"/>
    <col min="5" max="5" width="28" customWidth="1"/>
    <col min="6" max="6" width="32" customWidth="1"/>
    <col min="7" max="7" width="11" customWidth="1"/>
    <col min="8" max="8" width="9" customWidth="1"/>
    <col min="9" max="9" width="10" customWidth="1"/>
    <col min="10" max="10" width="9" customWidth="1"/>
    <col min="11" max="11" width="10" customWidth="1"/>
    <col min="12" max="12" width="8" customWidth="1"/>
    <col min="13" max="13" width="12" customWidth="1"/>
    <col min="14" max="14" width="9" customWidth="1"/>
  </cols>
  <sheetData>
    <row r="1" spans="1:14" ht="34" customHeight="1" x14ac:dyDescent="0.35">
      <c r="A1" s="18" t="s">
        <v>2512</v>
      </c>
      <c r="B1" s="18" t="s">
        <v>49</v>
      </c>
      <c r="C1" s="18" t="s">
        <v>50</v>
      </c>
      <c r="D1" s="18" t="s">
        <v>51</v>
      </c>
      <c r="E1" s="18" t="s">
        <v>52</v>
      </c>
      <c r="F1" s="18" t="s">
        <v>64</v>
      </c>
      <c r="G1" s="18" t="s">
        <v>61</v>
      </c>
      <c r="H1" s="18" t="s">
        <v>2513</v>
      </c>
      <c r="I1" s="18" t="s">
        <v>2514</v>
      </c>
      <c r="J1" s="18" t="s">
        <v>2515</v>
      </c>
      <c r="K1" s="18" t="s">
        <v>2516</v>
      </c>
      <c r="L1" s="18" t="s">
        <v>2517</v>
      </c>
      <c r="M1" s="18" t="s">
        <v>2518</v>
      </c>
      <c r="N1" s="18" t="s">
        <v>2519</v>
      </c>
    </row>
    <row r="2" spans="1:14" ht="35" customHeight="1" x14ac:dyDescent="0.35">
      <c r="A2" s="19" t="s">
        <v>2520</v>
      </c>
      <c r="B2" s="19" t="s">
        <v>71</v>
      </c>
      <c r="C2" s="19" t="s">
        <v>72</v>
      </c>
      <c r="D2" s="20" t="s">
        <v>73</v>
      </c>
      <c r="E2" s="20" t="s">
        <v>2521</v>
      </c>
      <c r="F2" s="20" t="s">
        <v>81</v>
      </c>
      <c r="G2" s="24">
        <v>8.6199999999999992</v>
      </c>
      <c r="H2" s="19" t="s">
        <v>2522</v>
      </c>
      <c r="I2" s="19">
        <v>1</v>
      </c>
      <c r="J2" s="19">
        <v>1</v>
      </c>
      <c r="K2" s="19">
        <v>1</v>
      </c>
      <c r="L2" s="19">
        <v>5</v>
      </c>
      <c r="M2" s="19" t="s">
        <v>2523</v>
      </c>
      <c r="N2" s="19" t="s">
        <v>2519</v>
      </c>
    </row>
    <row r="3" spans="1:14" ht="46.25" customHeight="1" x14ac:dyDescent="0.35">
      <c r="A3" s="27" t="s">
        <v>2520</v>
      </c>
      <c r="B3" s="27" t="s">
        <v>71</v>
      </c>
      <c r="C3" s="27" t="s">
        <v>72</v>
      </c>
      <c r="D3" s="28" t="s">
        <v>73</v>
      </c>
      <c r="E3" s="28" t="s">
        <v>2524</v>
      </c>
      <c r="F3" s="28" t="s">
        <v>93</v>
      </c>
      <c r="G3" s="32">
        <v>4.17</v>
      </c>
      <c r="H3" s="27" t="s">
        <v>2522</v>
      </c>
      <c r="I3" s="27">
        <v>1</v>
      </c>
      <c r="J3" s="27">
        <v>1</v>
      </c>
      <c r="K3" s="27">
        <v>0</v>
      </c>
      <c r="L3" s="27">
        <v>4</v>
      </c>
      <c r="M3" s="27" t="s">
        <v>2523</v>
      </c>
      <c r="N3" s="27" t="s">
        <v>2519</v>
      </c>
    </row>
    <row r="4" spans="1:14" ht="46.25" customHeight="1" x14ac:dyDescent="0.35">
      <c r="A4" s="19" t="s">
        <v>2520</v>
      </c>
      <c r="B4" s="19" t="s">
        <v>71</v>
      </c>
      <c r="C4" s="19" t="s">
        <v>72</v>
      </c>
      <c r="D4" s="20" t="s">
        <v>73</v>
      </c>
      <c r="E4" s="20" t="s">
        <v>2525</v>
      </c>
      <c r="F4" s="20" t="s">
        <v>102</v>
      </c>
      <c r="G4" s="24">
        <v>18.22</v>
      </c>
      <c r="H4" s="19" t="s">
        <v>2522</v>
      </c>
      <c r="I4" s="19">
        <v>1</v>
      </c>
      <c r="J4" s="19">
        <v>1</v>
      </c>
      <c r="K4" s="19">
        <v>0</v>
      </c>
      <c r="L4" s="19">
        <v>4</v>
      </c>
      <c r="M4" s="19" t="s">
        <v>2523</v>
      </c>
      <c r="N4" s="19" t="s">
        <v>2526</v>
      </c>
    </row>
    <row r="5" spans="1:14" ht="46.25" customHeight="1" x14ac:dyDescent="0.35">
      <c r="A5" s="27" t="s">
        <v>2520</v>
      </c>
      <c r="B5" s="27" t="s">
        <v>71</v>
      </c>
      <c r="C5" s="27" t="s">
        <v>72</v>
      </c>
      <c r="D5" s="28" t="s">
        <v>107</v>
      </c>
      <c r="E5" s="28" t="s">
        <v>2527</v>
      </c>
      <c r="F5" s="28" t="s">
        <v>113</v>
      </c>
      <c r="G5" s="32">
        <v>6.53</v>
      </c>
      <c r="H5" s="27" t="s">
        <v>2522</v>
      </c>
      <c r="I5" s="27">
        <v>1</v>
      </c>
      <c r="J5" s="27">
        <v>1</v>
      </c>
      <c r="K5" s="27">
        <v>1</v>
      </c>
      <c r="L5" s="27">
        <v>5</v>
      </c>
      <c r="M5" s="27" t="s">
        <v>2523</v>
      </c>
      <c r="N5" s="27" t="s">
        <v>2519</v>
      </c>
    </row>
    <row r="6" spans="1:14" ht="46.25" customHeight="1" x14ac:dyDescent="0.35">
      <c r="A6" s="19" t="s">
        <v>2520</v>
      </c>
      <c r="B6" s="19" t="s">
        <v>71</v>
      </c>
      <c r="C6" s="19" t="s">
        <v>72</v>
      </c>
      <c r="D6" s="20" t="s">
        <v>107</v>
      </c>
      <c r="E6" s="20" t="s">
        <v>2528</v>
      </c>
      <c r="F6" s="20" t="s">
        <v>121</v>
      </c>
      <c r="G6" s="24">
        <v>6.65</v>
      </c>
      <c r="H6" s="19" t="s">
        <v>2522</v>
      </c>
      <c r="I6" s="19">
        <v>1</v>
      </c>
      <c r="J6" s="19">
        <v>1</v>
      </c>
      <c r="K6" s="19">
        <v>1</v>
      </c>
      <c r="L6" s="19">
        <v>5</v>
      </c>
      <c r="M6" s="19" t="s">
        <v>2523</v>
      </c>
      <c r="N6" s="19" t="s">
        <v>2519</v>
      </c>
    </row>
    <row r="7" spans="1:14" ht="46.25" customHeight="1" x14ac:dyDescent="0.35">
      <c r="A7" s="27" t="s">
        <v>2520</v>
      </c>
      <c r="B7" s="27" t="s">
        <v>71</v>
      </c>
      <c r="C7" s="27" t="s">
        <v>72</v>
      </c>
      <c r="D7" s="28" t="s">
        <v>107</v>
      </c>
      <c r="E7" s="28" t="s">
        <v>2529</v>
      </c>
      <c r="F7" s="28" t="s">
        <v>131</v>
      </c>
      <c r="G7" s="32">
        <v>1.54</v>
      </c>
      <c r="H7" s="27" t="s">
        <v>2522</v>
      </c>
      <c r="I7" s="27">
        <v>1</v>
      </c>
      <c r="J7" s="27">
        <v>0</v>
      </c>
      <c r="K7" s="27">
        <v>0</v>
      </c>
      <c r="L7" s="27">
        <v>3</v>
      </c>
      <c r="M7" s="27" t="s">
        <v>2523</v>
      </c>
      <c r="N7" s="27" t="s">
        <v>2519</v>
      </c>
    </row>
    <row r="8" spans="1:14" ht="35" customHeight="1" x14ac:dyDescent="0.35">
      <c r="A8" s="19" t="s">
        <v>2520</v>
      </c>
      <c r="B8" s="19" t="s">
        <v>71</v>
      </c>
      <c r="C8" s="19" t="s">
        <v>72</v>
      </c>
      <c r="D8" s="20" t="s">
        <v>107</v>
      </c>
      <c r="E8" s="20" t="s">
        <v>2530</v>
      </c>
      <c r="F8" s="20" t="s">
        <v>140</v>
      </c>
      <c r="G8" s="24">
        <v>2.58</v>
      </c>
      <c r="H8" s="19" t="s">
        <v>2522</v>
      </c>
      <c r="I8" s="19">
        <v>1</v>
      </c>
      <c r="J8" s="19">
        <v>0</v>
      </c>
      <c r="K8" s="19">
        <v>1</v>
      </c>
      <c r="L8" s="19">
        <v>4</v>
      </c>
      <c r="M8" s="19" t="s">
        <v>2523</v>
      </c>
      <c r="N8" s="19" t="s">
        <v>2519</v>
      </c>
    </row>
    <row r="9" spans="1:14" ht="57.5" customHeight="1" x14ac:dyDescent="0.35">
      <c r="A9" s="27" t="s">
        <v>2520</v>
      </c>
      <c r="B9" s="27" t="s">
        <v>71</v>
      </c>
      <c r="C9" s="27" t="s">
        <v>72</v>
      </c>
      <c r="D9" s="28" t="s">
        <v>145</v>
      </c>
      <c r="E9" s="28" t="s">
        <v>2531</v>
      </c>
      <c r="F9" s="28" t="s">
        <v>149</v>
      </c>
      <c r="G9" s="32">
        <v>3.96</v>
      </c>
      <c r="H9" s="27" t="s">
        <v>2522</v>
      </c>
      <c r="I9" s="27">
        <v>1</v>
      </c>
      <c r="J9" s="27">
        <v>1</v>
      </c>
      <c r="K9" s="27">
        <v>0</v>
      </c>
      <c r="L9" s="27">
        <v>4</v>
      </c>
      <c r="M9" s="27" t="s">
        <v>2523</v>
      </c>
      <c r="N9" s="27" t="s">
        <v>2519</v>
      </c>
    </row>
    <row r="10" spans="1:14" ht="46.25" customHeight="1" x14ac:dyDescent="0.35">
      <c r="A10" s="19" t="s">
        <v>2520</v>
      </c>
      <c r="B10" s="19" t="s">
        <v>71</v>
      </c>
      <c r="C10" s="19" t="s">
        <v>72</v>
      </c>
      <c r="D10" s="20" t="s">
        <v>145</v>
      </c>
      <c r="E10" s="20" t="s">
        <v>2532</v>
      </c>
      <c r="F10" s="20" t="s">
        <v>159</v>
      </c>
      <c r="G10" s="24">
        <v>7.23</v>
      </c>
      <c r="H10" s="19" t="s">
        <v>2533</v>
      </c>
      <c r="I10" s="19">
        <v>-1</v>
      </c>
      <c r="J10" s="19">
        <v>0</v>
      </c>
      <c r="K10" s="19">
        <v>0</v>
      </c>
      <c r="L10" s="19">
        <v>-3</v>
      </c>
      <c r="M10" s="19" t="s">
        <v>2534</v>
      </c>
      <c r="N10" s="19" t="s">
        <v>2526</v>
      </c>
    </row>
    <row r="11" spans="1:14" ht="23.9" customHeight="1" x14ac:dyDescent="0.35">
      <c r="A11" s="27" t="s">
        <v>2520</v>
      </c>
      <c r="B11" s="27" t="s">
        <v>71</v>
      </c>
      <c r="C11" s="27" t="s">
        <v>72</v>
      </c>
      <c r="D11" s="28" t="s">
        <v>145</v>
      </c>
      <c r="E11" s="28" t="s">
        <v>2535</v>
      </c>
      <c r="F11" s="28" t="s">
        <v>167</v>
      </c>
      <c r="G11" s="32">
        <v>5.86</v>
      </c>
      <c r="H11" s="27" t="s">
        <v>2522</v>
      </c>
      <c r="I11" s="27">
        <v>1</v>
      </c>
      <c r="J11" s="27">
        <v>1</v>
      </c>
      <c r="K11" s="27">
        <v>0</v>
      </c>
      <c r="L11" s="27">
        <v>4</v>
      </c>
      <c r="M11" s="27" t="s">
        <v>2523</v>
      </c>
      <c r="N11" s="27" t="s">
        <v>2519</v>
      </c>
    </row>
    <row r="12" spans="1:14" ht="57.5" customHeight="1" x14ac:dyDescent="0.35">
      <c r="A12" s="19" t="s">
        <v>2520</v>
      </c>
      <c r="B12" s="19" t="s">
        <v>71</v>
      </c>
      <c r="C12" s="19" t="s">
        <v>72</v>
      </c>
      <c r="D12" s="20" t="s">
        <v>172</v>
      </c>
      <c r="E12" s="20" t="s">
        <v>2536</v>
      </c>
      <c r="F12" s="20" t="s">
        <v>177</v>
      </c>
      <c r="G12" s="24"/>
      <c r="H12" s="19" t="s">
        <v>2522</v>
      </c>
      <c r="I12" s="19">
        <v>1</v>
      </c>
      <c r="J12" s="19">
        <v>1</v>
      </c>
      <c r="K12" s="19">
        <v>1</v>
      </c>
      <c r="L12" s="19">
        <v>5</v>
      </c>
      <c r="M12" s="19" t="s">
        <v>2523</v>
      </c>
      <c r="N12" s="19" t="s">
        <v>2537</v>
      </c>
    </row>
    <row r="13" spans="1:14" ht="46.25" customHeight="1" x14ac:dyDescent="0.35">
      <c r="A13" s="27" t="s">
        <v>2520</v>
      </c>
      <c r="B13" s="27" t="s">
        <v>71</v>
      </c>
      <c r="C13" s="27" t="s">
        <v>72</v>
      </c>
      <c r="D13" s="28" t="s">
        <v>172</v>
      </c>
      <c r="E13" s="28" t="s">
        <v>2538</v>
      </c>
      <c r="F13" s="28" t="s">
        <v>186</v>
      </c>
      <c r="G13" s="32"/>
      <c r="H13" s="27" t="s">
        <v>2522</v>
      </c>
      <c r="I13" s="27">
        <v>1</v>
      </c>
      <c r="J13" s="27">
        <v>1</v>
      </c>
      <c r="K13" s="27">
        <v>1</v>
      </c>
      <c r="L13" s="27">
        <v>5</v>
      </c>
      <c r="M13" s="27" t="s">
        <v>2523</v>
      </c>
      <c r="N13" s="27" t="s">
        <v>2537</v>
      </c>
    </row>
    <row r="14" spans="1:14" ht="46.25" customHeight="1" x14ac:dyDescent="0.35">
      <c r="A14" s="19" t="s">
        <v>2520</v>
      </c>
      <c r="B14" s="19" t="s">
        <v>71</v>
      </c>
      <c r="C14" s="19" t="s">
        <v>72</v>
      </c>
      <c r="D14" s="20" t="s">
        <v>172</v>
      </c>
      <c r="E14" s="20" t="s">
        <v>2539</v>
      </c>
      <c r="F14" s="20" t="s">
        <v>194</v>
      </c>
      <c r="G14" s="24"/>
      <c r="H14" s="19" t="s">
        <v>2522</v>
      </c>
      <c r="I14" s="19">
        <v>1</v>
      </c>
      <c r="J14" s="19">
        <v>1</v>
      </c>
      <c r="K14" s="19">
        <v>1</v>
      </c>
      <c r="L14" s="19">
        <v>5</v>
      </c>
      <c r="M14" s="19" t="s">
        <v>2523</v>
      </c>
      <c r="N14" s="19" t="s">
        <v>2537</v>
      </c>
    </row>
    <row r="15" spans="1:14" ht="57.5" customHeight="1" x14ac:dyDescent="0.35">
      <c r="A15" s="27" t="s">
        <v>2520</v>
      </c>
      <c r="B15" s="27" t="s">
        <v>71</v>
      </c>
      <c r="C15" s="27" t="s">
        <v>72</v>
      </c>
      <c r="D15" s="28" t="s">
        <v>172</v>
      </c>
      <c r="E15" s="28" t="s">
        <v>2540</v>
      </c>
      <c r="F15" s="28" t="s">
        <v>202</v>
      </c>
      <c r="G15" s="32">
        <v>5.98</v>
      </c>
      <c r="H15" s="27" t="s">
        <v>2522</v>
      </c>
      <c r="I15" s="27">
        <v>1</v>
      </c>
      <c r="J15" s="27">
        <v>1</v>
      </c>
      <c r="K15" s="27">
        <v>1</v>
      </c>
      <c r="L15" s="27">
        <v>5</v>
      </c>
      <c r="M15" s="27" t="s">
        <v>2523</v>
      </c>
      <c r="N15" s="27" t="s">
        <v>2519</v>
      </c>
    </row>
    <row r="16" spans="1:14" ht="35" customHeight="1" x14ac:dyDescent="0.35">
      <c r="A16" s="19" t="s">
        <v>2520</v>
      </c>
      <c r="B16" s="19" t="s">
        <v>71</v>
      </c>
      <c r="C16" s="19" t="s">
        <v>72</v>
      </c>
      <c r="D16" s="20" t="s">
        <v>172</v>
      </c>
      <c r="E16" s="20" t="s">
        <v>2541</v>
      </c>
      <c r="F16" s="20" t="s">
        <v>211</v>
      </c>
      <c r="G16" s="24">
        <v>7.38</v>
      </c>
      <c r="H16" s="19" t="s">
        <v>2522</v>
      </c>
      <c r="I16" s="19">
        <v>1</v>
      </c>
      <c r="J16" s="19">
        <v>1</v>
      </c>
      <c r="K16" s="19">
        <v>1</v>
      </c>
      <c r="L16" s="19">
        <v>5</v>
      </c>
      <c r="M16" s="19" t="s">
        <v>2523</v>
      </c>
      <c r="N16" s="19" t="s">
        <v>2519</v>
      </c>
    </row>
    <row r="17" spans="1:14" ht="35" customHeight="1" x14ac:dyDescent="0.35">
      <c r="A17" s="27" t="s">
        <v>2520</v>
      </c>
      <c r="B17" s="27" t="s">
        <v>71</v>
      </c>
      <c r="C17" s="27" t="s">
        <v>72</v>
      </c>
      <c r="D17" s="28" t="s">
        <v>172</v>
      </c>
      <c r="E17" s="28" t="s">
        <v>2542</v>
      </c>
      <c r="F17" s="28" t="s">
        <v>218</v>
      </c>
      <c r="G17" s="32">
        <v>2.4700000000000002</v>
      </c>
      <c r="H17" s="27" t="s">
        <v>2522</v>
      </c>
      <c r="I17" s="27">
        <v>1</v>
      </c>
      <c r="J17" s="27">
        <v>1</v>
      </c>
      <c r="K17" s="27">
        <v>1</v>
      </c>
      <c r="L17" s="27">
        <v>5</v>
      </c>
      <c r="M17" s="27" t="s">
        <v>2523</v>
      </c>
      <c r="N17" s="27" t="s">
        <v>2519</v>
      </c>
    </row>
    <row r="18" spans="1:14" ht="46.25" customHeight="1" x14ac:dyDescent="0.35">
      <c r="A18" s="19" t="s">
        <v>2520</v>
      </c>
      <c r="B18" s="19" t="s">
        <v>71</v>
      </c>
      <c r="C18" s="19" t="s">
        <v>72</v>
      </c>
      <c r="D18" s="20" t="s">
        <v>223</v>
      </c>
      <c r="E18" s="20" t="s">
        <v>2543</v>
      </c>
      <c r="F18" s="20" t="s">
        <v>226</v>
      </c>
      <c r="G18" s="24">
        <v>6.09</v>
      </c>
      <c r="H18" s="19" t="s">
        <v>2533</v>
      </c>
      <c r="I18" s="19">
        <v>-1</v>
      </c>
      <c r="J18" s="19">
        <v>-1</v>
      </c>
      <c r="K18" s="19">
        <v>0</v>
      </c>
      <c r="L18" s="19">
        <v>-4</v>
      </c>
      <c r="M18" s="19" t="s">
        <v>2534</v>
      </c>
      <c r="N18" s="19" t="s">
        <v>2519</v>
      </c>
    </row>
    <row r="19" spans="1:14" ht="46.25" customHeight="1" x14ac:dyDescent="0.35">
      <c r="A19" s="27" t="s">
        <v>2520</v>
      </c>
      <c r="B19" s="27" t="s">
        <v>71</v>
      </c>
      <c r="C19" s="27" t="s">
        <v>72</v>
      </c>
      <c r="D19" s="28" t="s">
        <v>223</v>
      </c>
      <c r="E19" s="28" t="s">
        <v>2544</v>
      </c>
      <c r="F19" s="28" t="s">
        <v>236</v>
      </c>
      <c r="G19" s="32">
        <v>2.4</v>
      </c>
      <c r="H19" s="27" t="s">
        <v>2533</v>
      </c>
      <c r="I19" s="27">
        <v>-1</v>
      </c>
      <c r="J19" s="27">
        <v>-1</v>
      </c>
      <c r="K19" s="27">
        <v>0</v>
      </c>
      <c r="L19" s="27">
        <v>-4</v>
      </c>
      <c r="M19" s="27" t="s">
        <v>2534</v>
      </c>
      <c r="N19" s="27" t="s">
        <v>2519</v>
      </c>
    </row>
    <row r="20" spans="1:14" ht="35" customHeight="1" x14ac:dyDescent="0.35">
      <c r="A20" s="19" t="s">
        <v>2520</v>
      </c>
      <c r="B20" s="19" t="s">
        <v>71</v>
      </c>
      <c r="C20" s="19" t="s">
        <v>72</v>
      </c>
      <c r="D20" s="20" t="s">
        <v>241</v>
      </c>
      <c r="E20" s="20" t="s">
        <v>2545</v>
      </c>
      <c r="F20" s="20" t="s">
        <v>245</v>
      </c>
      <c r="G20" s="24">
        <v>4.54</v>
      </c>
      <c r="H20" s="19" t="s">
        <v>2533</v>
      </c>
      <c r="I20" s="19">
        <v>-1</v>
      </c>
      <c r="J20" s="19">
        <v>-1</v>
      </c>
      <c r="K20" s="19">
        <v>0</v>
      </c>
      <c r="L20" s="19">
        <v>-4</v>
      </c>
      <c r="M20" s="19" t="s">
        <v>2534</v>
      </c>
      <c r="N20" s="19" t="s">
        <v>2519</v>
      </c>
    </row>
    <row r="21" spans="1:14" ht="46.25" customHeight="1" x14ac:dyDescent="0.35">
      <c r="A21" s="27" t="s">
        <v>2520</v>
      </c>
      <c r="B21" s="27" t="s">
        <v>71</v>
      </c>
      <c r="C21" s="27" t="s">
        <v>72</v>
      </c>
      <c r="D21" s="28" t="s">
        <v>241</v>
      </c>
      <c r="E21" s="28" t="s">
        <v>2546</v>
      </c>
      <c r="F21" s="28" t="s">
        <v>253</v>
      </c>
      <c r="G21" s="32">
        <v>5.16</v>
      </c>
      <c r="H21" s="27" t="s">
        <v>2522</v>
      </c>
      <c r="I21" s="27">
        <v>1</v>
      </c>
      <c r="J21" s="27">
        <v>1</v>
      </c>
      <c r="K21" s="27">
        <v>0</v>
      </c>
      <c r="L21" s="27">
        <v>4</v>
      </c>
      <c r="M21" s="27" t="s">
        <v>2523</v>
      </c>
      <c r="N21" s="27" t="s">
        <v>2519</v>
      </c>
    </row>
    <row r="22" spans="1:14" ht="46.25" customHeight="1" x14ac:dyDescent="0.35">
      <c r="A22" s="19" t="s">
        <v>2520</v>
      </c>
      <c r="B22" s="19" t="s">
        <v>71</v>
      </c>
      <c r="C22" s="19" t="s">
        <v>72</v>
      </c>
      <c r="D22" s="20" t="s">
        <v>258</v>
      </c>
      <c r="E22" s="20" t="s">
        <v>2547</v>
      </c>
      <c r="F22" s="20" t="s">
        <v>261</v>
      </c>
      <c r="G22" s="24"/>
      <c r="H22" s="19" t="s">
        <v>2522</v>
      </c>
      <c r="I22" s="19">
        <v>-1</v>
      </c>
      <c r="J22" s="19">
        <v>1</v>
      </c>
      <c r="K22" s="19">
        <v>1</v>
      </c>
      <c r="L22" s="19">
        <v>1</v>
      </c>
      <c r="M22" s="19" t="s">
        <v>2534</v>
      </c>
      <c r="N22" s="19" t="s">
        <v>2537</v>
      </c>
    </row>
    <row r="23" spans="1:14" ht="46.25" customHeight="1" x14ac:dyDescent="0.35">
      <c r="A23" s="27" t="s">
        <v>2520</v>
      </c>
      <c r="B23" s="27" t="s">
        <v>71</v>
      </c>
      <c r="C23" s="27" t="s">
        <v>72</v>
      </c>
      <c r="D23" s="28" t="s">
        <v>258</v>
      </c>
      <c r="E23" s="28" t="s">
        <v>2548</v>
      </c>
      <c r="F23" s="28" t="s">
        <v>269</v>
      </c>
      <c r="G23" s="32"/>
      <c r="H23" s="27" t="s">
        <v>2522</v>
      </c>
      <c r="I23" s="27">
        <v>-1</v>
      </c>
      <c r="J23" s="27">
        <v>1</v>
      </c>
      <c r="K23" s="27">
        <v>0</v>
      </c>
      <c r="L23" s="27">
        <v>0</v>
      </c>
      <c r="M23" s="27" t="s">
        <v>2534</v>
      </c>
      <c r="N23" s="27" t="s">
        <v>2537</v>
      </c>
    </row>
    <row r="24" spans="1:14" ht="23.9" customHeight="1" x14ac:dyDescent="0.35">
      <c r="A24" s="19" t="s">
        <v>2520</v>
      </c>
      <c r="B24" s="19" t="s">
        <v>71</v>
      </c>
      <c r="C24" s="19" t="s">
        <v>72</v>
      </c>
      <c r="D24" s="20" t="s">
        <v>273</v>
      </c>
      <c r="E24" s="20" t="s">
        <v>2549</v>
      </c>
      <c r="F24" s="20" t="s">
        <v>277</v>
      </c>
      <c r="G24" s="24">
        <v>1.96</v>
      </c>
      <c r="H24" s="19" t="s">
        <v>2522</v>
      </c>
      <c r="I24" s="19">
        <v>1</v>
      </c>
      <c r="J24" s="19">
        <v>1</v>
      </c>
      <c r="K24" s="19">
        <v>1</v>
      </c>
      <c r="L24" s="19">
        <v>5</v>
      </c>
      <c r="M24" s="19" t="s">
        <v>2523</v>
      </c>
      <c r="N24" s="19" t="s">
        <v>2519</v>
      </c>
    </row>
    <row r="25" spans="1:14" ht="35" customHeight="1" x14ac:dyDescent="0.35">
      <c r="A25" s="27" t="s">
        <v>2520</v>
      </c>
      <c r="B25" s="27" t="s">
        <v>71</v>
      </c>
      <c r="C25" s="27" t="s">
        <v>72</v>
      </c>
      <c r="D25" s="28" t="s">
        <v>273</v>
      </c>
      <c r="E25" s="28" t="s">
        <v>2550</v>
      </c>
      <c r="F25" s="28" t="s">
        <v>284</v>
      </c>
      <c r="G25" s="32"/>
      <c r="H25" s="27" t="s">
        <v>2522</v>
      </c>
      <c r="I25" s="27">
        <v>1</v>
      </c>
      <c r="J25" s="27">
        <v>1</v>
      </c>
      <c r="K25" s="27">
        <v>0</v>
      </c>
      <c r="L25" s="27">
        <v>4</v>
      </c>
      <c r="M25" s="27" t="s">
        <v>2523</v>
      </c>
      <c r="N25" s="27" t="s">
        <v>2537</v>
      </c>
    </row>
    <row r="26" spans="1:14" ht="46.25" customHeight="1" x14ac:dyDescent="0.35">
      <c r="A26" s="19" t="s">
        <v>2520</v>
      </c>
      <c r="B26" s="19" t="s">
        <v>71</v>
      </c>
      <c r="C26" s="19" t="s">
        <v>72</v>
      </c>
      <c r="D26" s="20" t="s">
        <v>273</v>
      </c>
      <c r="E26" s="20" t="s">
        <v>2551</v>
      </c>
      <c r="F26" s="20" t="s">
        <v>291</v>
      </c>
      <c r="G26" s="24"/>
      <c r="H26" s="19" t="s">
        <v>2533</v>
      </c>
      <c r="I26" s="19">
        <v>-1</v>
      </c>
      <c r="J26" s="19">
        <v>-1</v>
      </c>
      <c r="K26" s="19">
        <v>0</v>
      </c>
      <c r="L26" s="19">
        <v>-4</v>
      </c>
      <c r="M26" s="19" t="s">
        <v>2534</v>
      </c>
      <c r="N26" s="19" t="s">
        <v>2537</v>
      </c>
    </row>
    <row r="27" spans="1:14" ht="35" customHeight="1" x14ac:dyDescent="0.35">
      <c r="A27" s="27" t="s">
        <v>2520</v>
      </c>
      <c r="B27" s="27" t="s">
        <v>71</v>
      </c>
      <c r="C27" s="27" t="s">
        <v>72</v>
      </c>
      <c r="D27" s="28" t="s">
        <v>296</v>
      </c>
      <c r="E27" s="28" t="s">
        <v>2552</v>
      </c>
      <c r="F27" s="28" t="s">
        <v>299</v>
      </c>
      <c r="G27" s="32">
        <v>10.34</v>
      </c>
      <c r="H27" s="27" t="s">
        <v>2522</v>
      </c>
      <c r="I27" s="27">
        <v>-1</v>
      </c>
      <c r="J27" s="27">
        <v>1</v>
      </c>
      <c r="K27" s="27">
        <v>1</v>
      </c>
      <c r="L27" s="27">
        <v>1</v>
      </c>
      <c r="M27" s="27" t="s">
        <v>2534</v>
      </c>
      <c r="N27" s="27" t="s">
        <v>2526</v>
      </c>
    </row>
    <row r="28" spans="1:14" ht="46.25" customHeight="1" x14ac:dyDescent="0.35">
      <c r="A28" s="19" t="s">
        <v>2520</v>
      </c>
      <c r="B28" s="19" t="s">
        <v>71</v>
      </c>
      <c r="C28" s="19" t="s">
        <v>72</v>
      </c>
      <c r="D28" s="20" t="s">
        <v>304</v>
      </c>
      <c r="E28" s="20" t="s">
        <v>2553</v>
      </c>
      <c r="F28" s="20" t="s">
        <v>308</v>
      </c>
      <c r="G28" s="24">
        <v>3.03</v>
      </c>
      <c r="H28" s="19" t="s">
        <v>2522</v>
      </c>
      <c r="I28" s="19">
        <v>1</v>
      </c>
      <c r="J28" s="19">
        <v>1</v>
      </c>
      <c r="K28" s="19">
        <v>0</v>
      </c>
      <c r="L28" s="19">
        <v>4</v>
      </c>
      <c r="M28" s="19" t="s">
        <v>2523</v>
      </c>
      <c r="N28" s="19" t="s">
        <v>2519</v>
      </c>
    </row>
    <row r="29" spans="1:14" ht="23.9" customHeight="1" x14ac:dyDescent="0.35">
      <c r="A29" s="27" t="s">
        <v>2520</v>
      </c>
      <c r="B29" s="27" t="s">
        <v>71</v>
      </c>
      <c r="C29" s="27" t="s">
        <v>72</v>
      </c>
      <c r="D29" s="28" t="s">
        <v>313</v>
      </c>
      <c r="E29" s="28" t="s">
        <v>2554</v>
      </c>
      <c r="F29" s="28" t="s">
        <v>316</v>
      </c>
      <c r="G29" s="32">
        <v>2.33</v>
      </c>
      <c r="H29" s="27" t="s">
        <v>2533</v>
      </c>
      <c r="I29" s="27">
        <v>-1</v>
      </c>
      <c r="J29" s="27">
        <v>-1</v>
      </c>
      <c r="K29" s="27">
        <v>0</v>
      </c>
      <c r="L29" s="27">
        <v>-4</v>
      </c>
      <c r="M29" s="27" t="s">
        <v>2534</v>
      </c>
      <c r="N29" s="27" t="s">
        <v>2519</v>
      </c>
    </row>
    <row r="30" spans="1:14" ht="46.25" customHeight="1" x14ac:dyDescent="0.35">
      <c r="A30" s="19" t="s">
        <v>2520</v>
      </c>
      <c r="B30" s="19" t="s">
        <v>71</v>
      </c>
      <c r="C30" s="19" t="s">
        <v>72</v>
      </c>
      <c r="D30" s="20" t="s">
        <v>321</v>
      </c>
      <c r="E30" s="20" t="s">
        <v>2555</v>
      </c>
      <c r="F30" s="20" t="s">
        <v>326</v>
      </c>
      <c r="G30" s="24">
        <v>1.67</v>
      </c>
      <c r="H30" s="19" t="s">
        <v>2533</v>
      </c>
      <c r="I30" s="19">
        <v>-1</v>
      </c>
      <c r="J30" s="19">
        <v>-1</v>
      </c>
      <c r="K30" s="19">
        <v>0</v>
      </c>
      <c r="L30" s="19">
        <v>-4</v>
      </c>
      <c r="M30" s="19" t="s">
        <v>2534</v>
      </c>
      <c r="N30" s="19" t="s">
        <v>2519</v>
      </c>
    </row>
    <row r="31" spans="1:14" ht="46.25" customHeight="1" x14ac:dyDescent="0.35">
      <c r="A31" s="27" t="s">
        <v>2520</v>
      </c>
      <c r="B31" s="27" t="s">
        <v>71</v>
      </c>
      <c r="C31" s="27" t="s">
        <v>72</v>
      </c>
      <c r="D31" s="28" t="s">
        <v>321</v>
      </c>
      <c r="E31" s="28" t="s">
        <v>1939</v>
      </c>
      <c r="F31" s="28" t="s">
        <v>334</v>
      </c>
      <c r="G31" s="32"/>
      <c r="H31" s="27" t="s">
        <v>2533</v>
      </c>
      <c r="I31" s="27">
        <v>-1</v>
      </c>
      <c r="J31" s="27">
        <v>-1</v>
      </c>
      <c r="K31" s="27">
        <v>0</v>
      </c>
      <c r="L31" s="27">
        <v>-4</v>
      </c>
      <c r="M31" s="27" t="s">
        <v>2534</v>
      </c>
      <c r="N31" s="27" t="s">
        <v>2526</v>
      </c>
    </row>
    <row r="32" spans="1:14" ht="35" customHeight="1" x14ac:dyDescent="0.35">
      <c r="A32" s="19" t="s">
        <v>2520</v>
      </c>
      <c r="B32" s="19" t="s">
        <v>71</v>
      </c>
      <c r="C32" s="19" t="s">
        <v>72</v>
      </c>
      <c r="D32" s="20" t="s">
        <v>321</v>
      </c>
      <c r="E32" s="20" t="s">
        <v>2556</v>
      </c>
      <c r="F32" s="20" t="s">
        <v>341</v>
      </c>
      <c r="G32" s="24"/>
      <c r="H32" s="19" t="s">
        <v>2533</v>
      </c>
      <c r="I32" s="19">
        <v>-1</v>
      </c>
      <c r="J32" s="19">
        <v>-1</v>
      </c>
      <c r="K32" s="19">
        <v>0</v>
      </c>
      <c r="L32" s="19">
        <v>-4</v>
      </c>
      <c r="M32" s="19" t="s">
        <v>2534</v>
      </c>
      <c r="N32" s="19" t="s">
        <v>2537</v>
      </c>
    </row>
    <row r="33" spans="1:14" ht="15" customHeight="1" x14ac:dyDescent="0.35">
      <c r="A33" s="27" t="s">
        <v>2557</v>
      </c>
      <c r="B33" s="27" t="s">
        <v>347</v>
      </c>
      <c r="C33" s="27" t="s">
        <v>348</v>
      </c>
      <c r="D33" s="28" t="s">
        <v>73</v>
      </c>
      <c r="E33" s="28" t="s">
        <v>349</v>
      </c>
      <c r="F33" s="28" t="s">
        <v>351</v>
      </c>
      <c r="G33" s="32"/>
      <c r="H33" s="27" t="s">
        <v>2522</v>
      </c>
      <c r="I33" s="27">
        <v>1</v>
      </c>
      <c r="J33" s="27">
        <v>1</v>
      </c>
      <c r="K33" s="27">
        <v>1</v>
      </c>
      <c r="L33" s="27">
        <v>5</v>
      </c>
      <c r="M33" s="27" t="s">
        <v>2523</v>
      </c>
      <c r="N33" s="27" t="s">
        <v>2519</v>
      </c>
    </row>
    <row r="34" spans="1:14" ht="15" customHeight="1" x14ac:dyDescent="0.35">
      <c r="A34" s="19" t="s">
        <v>2557</v>
      </c>
      <c r="B34" s="19" t="s">
        <v>347</v>
      </c>
      <c r="C34" s="19" t="s">
        <v>348</v>
      </c>
      <c r="D34" s="20" t="s">
        <v>73</v>
      </c>
      <c r="E34" s="20" t="s">
        <v>2377</v>
      </c>
      <c r="F34" s="20" t="s">
        <v>360</v>
      </c>
      <c r="G34" s="24"/>
      <c r="H34" s="19" t="s">
        <v>2522</v>
      </c>
      <c r="I34" s="19">
        <v>1</v>
      </c>
      <c r="J34" s="19">
        <v>1</v>
      </c>
      <c r="K34" s="19">
        <v>0</v>
      </c>
      <c r="L34" s="19">
        <v>4</v>
      </c>
      <c r="M34" s="19" t="s">
        <v>2523</v>
      </c>
      <c r="N34" s="19" t="s">
        <v>2526</v>
      </c>
    </row>
    <row r="35" spans="1:14" ht="15" customHeight="1" x14ac:dyDescent="0.35">
      <c r="A35" s="27" t="s">
        <v>2557</v>
      </c>
      <c r="B35" s="27" t="s">
        <v>347</v>
      </c>
      <c r="C35" s="27" t="s">
        <v>72</v>
      </c>
      <c r="D35" s="28" t="s">
        <v>73</v>
      </c>
      <c r="E35" s="28" t="s">
        <v>364</v>
      </c>
      <c r="F35" s="28" t="s">
        <v>366</v>
      </c>
      <c r="G35" s="32"/>
      <c r="H35" s="27" t="s">
        <v>2522</v>
      </c>
      <c r="I35" s="27">
        <v>1</v>
      </c>
      <c r="J35" s="27">
        <v>1</v>
      </c>
      <c r="K35" s="27">
        <v>1</v>
      </c>
      <c r="L35" s="27">
        <v>5</v>
      </c>
      <c r="M35" s="27" t="s">
        <v>2523</v>
      </c>
      <c r="N35" s="27" t="s">
        <v>2519</v>
      </c>
    </row>
    <row r="36" spans="1:14" ht="15" customHeight="1" x14ac:dyDescent="0.35">
      <c r="A36" s="19" t="s">
        <v>2557</v>
      </c>
      <c r="B36" s="19" t="s">
        <v>347</v>
      </c>
      <c r="C36" s="19" t="s">
        <v>72</v>
      </c>
      <c r="D36" s="20" t="s">
        <v>73</v>
      </c>
      <c r="E36" s="20" t="s">
        <v>371</v>
      </c>
      <c r="F36" s="20" t="s">
        <v>366</v>
      </c>
      <c r="G36" s="24"/>
      <c r="H36" s="19" t="s">
        <v>2522</v>
      </c>
      <c r="I36" s="19">
        <v>1</v>
      </c>
      <c r="J36" s="19">
        <v>0</v>
      </c>
      <c r="K36" s="19">
        <v>0</v>
      </c>
      <c r="L36" s="19">
        <v>3</v>
      </c>
      <c r="M36" s="19" t="s">
        <v>2523</v>
      </c>
      <c r="N36" s="19" t="s">
        <v>2519</v>
      </c>
    </row>
    <row r="37" spans="1:14" ht="15" customHeight="1" x14ac:dyDescent="0.35">
      <c r="A37" s="27" t="s">
        <v>2557</v>
      </c>
      <c r="B37" s="27" t="s">
        <v>347</v>
      </c>
      <c r="C37" s="27" t="s">
        <v>72</v>
      </c>
      <c r="D37" s="28" t="s">
        <v>73</v>
      </c>
      <c r="E37" s="28" t="s">
        <v>376</v>
      </c>
      <c r="F37" s="28" t="s">
        <v>378</v>
      </c>
      <c r="G37" s="32"/>
      <c r="H37" s="27" t="s">
        <v>2522</v>
      </c>
      <c r="I37" s="27">
        <v>1</v>
      </c>
      <c r="J37" s="27">
        <v>1</v>
      </c>
      <c r="K37" s="27">
        <v>0</v>
      </c>
      <c r="L37" s="27">
        <v>4</v>
      </c>
      <c r="M37" s="27" t="s">
        <v>2523</v>
      </c>
      <c r="N37" s="27" t="s">
        <v>2558</v>
      </c>
    </row>
    <row r="38" spans="1:14" ht="15" customHeight="1" x14ac:dyDescent="0.35">
      <c r="A38" s="19" t="s">
        <v>2557</v>
      </c>
      <c r="B38" s="19" t="s">
        <v>347</v>
      </c>
      <c r="C38" s="19" t="s">
        <v>72</v>
      </c>
      <c r="D38" s="20" t="s">
        <v>172</v>
      </c>
      <c r="E38" s="20" t="s">
        <v>2405</v>
      </c>
      <c r="F38" s="20" t="s">
        <v>366</v>
      </c>
      <c r="G38" s="24"/>
      <c r="H38" s="19" t="s">
        <v>2522</v>
      </c>
      <c r="I38" s="19">
        <v>1</v>
      </c>
      <c r="J38" s="19" t="s">
        <v>2559</v>
      </c>
      <c r="K38" s="19">
        <v>0</v>
      </c>
      <c r="L38" s="19">
        <v>3</v>
      </c>
      <c r="M38" s="19" t="s">
        <v>2560</v>
      </c>
      <c r="N38" s="19" t="s">
        <v>2519</v>
      </c>
    </row>
    <row r="39" spans="1:14" ht="15" customHeight="1" x14ac:dyDescent="0.35">
      <c r="A39" s="27" t="s">
        <v>2557</v>
      </c>
      <c r="B39" s="27" t="s">
        <v>347</v>
      </c>
      <c r="C39" s="27" t="s">
        <v>72</v>
      </c>
      <c r="D39" s="28" t="s">
        <v>172</v>
      </c>
      <c r="E39" s="28" t="s">
        <v>389</v>
      </c>
      <c r="F39" s="28" t="s">
        <v>366</v>
      </c>
      <c r="G39" s="32"/>
      <c r="H39" s="27" t="s">
        <v>2533</v>
      </c>
      <c r="I39" s="27">
        <v>-1</v>
      </c>
      <c r="J39" s="27" t="s">
        <v>2559</v>
      </c>
      <c r="K39" s="27">
        <v>0</v>
      </c>
      <c r="L39" s="27">
        <v>-3</v>
      </c>
      <c r="M39" s="27" t="s">
        <v>2560</v>
      </c>
      <c r="N39" s="27" t="s">
        <v>2519</v>
      </c>
    </row>
    <row r="40" spans="1:14" ht="15" customHeight="1" x14ac:dyDescent="0.35">
      <c r="A40" s="19" t="s">
        <v>2557</v>
      </c>
      <c r="B40" s="19" t="s">
        <v>347</v>
      </c>
      <c r="C40" s="19" t="s">
        <v>72</v>
      </c>
      <c r="D40" s="20" t="s">
        <v>296</v>
      </c>
      <c r="E40" s="20" t="s">
        <v>396</v>
      </c>
      <c r="F40" s="20" t="s">
        <v>400</v>
      </c>
      <c r="G40" s="24"/>
      <c r="H40" s="19" t="s">
        <v>2522</v>
      </c>
      <c r="I40" s="19">
        <v>-1</v>
      </c>
      <c r="J40" s="19">
        <v>1</v>
      </c>
      <c r="K40" s="19">
        <v>-1</v>
      </c>
      <c r="L40" s="19">
        <v>-1</v>
      </c>
      <c r="M40" s="19" t="s">
        <v>2534</v>
      </c>
      <c r="N40" s="19" t="s">
        <v>2519</v>
      </c>
    </row>
    <row r="41" spans="1:14" ht="15" customHeight="1" x14ac:dyDescent="0.35">
      <c r="A41" s="27" t="s">
        <v>2557</v>
      </c>
      <c r="B41" s="27" t="s">
        <v>347</v>
      </c>
      <c r="C41" s="27" t="s">
        <v>72</v>
      </c>
      <c r="D41" s="28" t="s">
        <v>296</v>
      </c>
      <c r="E41" s="28" t="s">
        <v>405</v>
      </c>
      <c r="F41" s="28" t="s">
        <v>400</v>
      </c>
      <c r="G41" s="32"/>
      <c r="H41" s="27" t="s">
        <v>2522</v>
      </c>
      <c r="I41" s="27">
        <v>-1</v>
      </c>
      <c r="J41" s="27">
        <v>1</v>
      </c>
      <c r="K41" s="27">
        <v>-1</v>
      </c>
      <c r="L41" s="27">
        <v>-1</v>
      </c>
      <c r="M41" s="27" t="s">
        <v>2534</v>
      </c>
      <c r="N41" s="27" t="s">
        <v>2519</v>
      </c>
    </row>
    <row r="42" spans="1:14" ht="15" customHeight="1" x14ac:dyDescent="0.35">
      <c r="A42" s="19" t="s">
        <v>2557</v>
      </c>
      <c r="B42" s="19" t="s">
        <v>347</v>
      </c>
      <c r="C42" s="19" t="s">
        <v>72</v>
      </c>
      <c r="D42" s="20" t="s">
        <v>296</v>
      </c>
      <c r="E42" s="20" t="s">
        <v>411</v>
      </c>
      <c r="F42" s="20" t="s">
        <v>366</v>
      </c>
      <c r="G42" s="24"/>
      <c r="H42" s="19" t="s">
        <v>2522</v>
      </c>
      <c r="I42" s="19">
        <v>-1</v>
      </c>
      <c r="J42" s="19">
        <v>1</v>
      </c>
      <c r="K42" s="19">
        <v>-1</v>
      </c>
      <c r="L42" s="19">
        <v>-1</v>
      </c>
      <c r="M42" s="19" t="s">
        <v>2534</v>
      </c>
      <c r="N42" s="19" t="s">
        <v>2526</v>
      </c>
    </row>
    <row r="43" spans="1:14" ht="15" customHeight="1" x14ac:dyDescent="0.35">
      <c r="A43" s="27" t="s">
        <v>2557</v>
      </c>
      <c r="B43" s="27" t="s">
        <v>347</v>
      </c>
      <c r="C43" s="27" t="s">
        <v>72</v>
      </c>
      <c r="D43" s="28" t="s">
        <v>296</v>
      </c>
      <c r="E43" s="28" t="s">
        <v>2440</v>
      </c>
      <c r="F43" s="28" t="s">
        <v>351</v>
      </c>
      <c r="G43" s="32"/>
      <c r="H43" s="27" t="s">
        <v>2522</v>
      </c>
      <c r="I43" s="27">
        <v>-1</v>
      </c>
      <c r="J43" s="27">
        <v>0</v>
      </c>
      <c r="K43" s="27">
        <v>-1</v>
      </c>
      <c r="L43" s="27">
        <v>-2</v>
      </c>
      <c r="M43" s="27" t="s">
        <v>2534</v>
      </c>
      <c r="N43" s="27" t="s">
        <v>2526</v>
      </c>
    </row>
    <row r="44" spans="1:14" ht="23.9" customHeight="1" x14ac:dyDescent="0.35">
      <c r="A44" s="19" t="s">
        <v>2557</v>
      </c>
      <c r="B44" s="19" t="s">
        <v>347</v>
      </c>
      <c r="C44" s="19" t="s">
        <v>72</v>
      </c>
      <c r="D44" s="20" t="s">
        <v>241</v>
      </c>
      <c r="E44" s="20" t="s">
        <v>1931</v>
      </c>
      <c r="F44" s="20" t="s">
        <v>400</v>
      </c>
      <c r="G44" s="24"/>
      <c r="H44" s="19" t="s">
        <v>2533</v>
      </c>
      <c r="I44" s="19">
        <v>-1</v>
      </c>
      <c r="J44" s="19">
        <v>0</v>
      </c>
      <c r="K44" s="19">
        <v>0</v>
      </c>
      <c r="L44" s="19">
        <v>-3</v>
      </c>
      <c r="M44" s="19" t="s">
        <v>2534</v>
      </c>
      <c r="N44" s="19" t="s">
        <v>2519</v>
      </c>
    </row>
    <row r="45" spans="1:14" ht="23.9" customHeight="1" x14ac:dyDescent="0.35">
      <c r="A45" s="27" t="s">
        <v>2557</v>
      </c>
      <c r="B45" s="27" t="s">
        <v>347</v>
      </c>
      <c r="C45" s="27" t="s">
        <v>72</v>
      </c>
      <c r="D45" s="28" t="s">
        <v>241</v>
      </c>
      <c r="E45" s="28" t="s">
        <v>2561</v>
      </c>
      <c r="F45" s="28" t="s">
        <v>351</v>
      </c>
      <c r="G45" s="32"/>
      <c r="H45" s="27" t="s">
        <v>2522</v>
      </c>
      <c r="I45" s="27">
        <v>1</v>
      </c>
      <c r="J45" s="27">
        <v>1</v>
      </c>
      <c r="K45" s="27">
        <v>0</v>
      </c>
      <c r="L45" s="27">
        <v>4</v>
      </c>
      <c r="M45" s="27" t="s">
        <v>2523</v>
      </c>
      <c r="N45" s="27" t="s">
        <v>2519</v>
      </c>
    </row>
    <row r="46" spans="1:14" ht="23.9" customHeight="1" x14ac:dyDescent="0.35">
      <c r="A46" s="19" t="s">
        <v>2557</v>
      </c>
      <c r="B46" s="19" t="s">
        <v>347</v>
      </c>
      <c r="C46" s="19" t="s">
        <v>348</v>
      </c>
      <c r="D46" s="20" t="s">
        <v>241</v>
      </c>
      <c r="E46" s="20" t="s">
        <v>438</v>
      </c>
      <c r="F46" s="20" t="s">
        <v>366</v>
      </c>
      <c r="G46" s="24"/>
      <c r="H46" s="19" t="s">
        <v>2533</v>
      </c>
      <c r="I46" s="19">
        <v>-1</v>
      </c>
      <c r="J46" s="19">
        <v>0</v>
      </c>
      <c r="K46" s="19">
        <v>0</v>
      </c>
      <c r="L46" s="19">
        <v>-3</v>
      </c>
      <c r="M46" s="19" t="s">
        <v>2534</v>
      </c>
      <c r="N46" s="19" t="s">
        <v>2526</v>
      </c>
    </row>
    <row r="47" spans="1:14" ht="15" customHeight="1" x14ac:dyDescent="0.35">
      <c r="A47" s="27" t="s">
        <v>2557</v>
      </c>
      <c r="B47" s="27" t="s">
        <v>347</v>
      </c>
      <c r="C47" s="27" t="s">
        <v>72</v>
      </c>
      <c r="D47" s="28" t="s">
        <v>223</v>
      </c>
      <c r="E47" s="28" t="s">
        <v>444</v>
      </c>
      <c r="F47" s="28" t="s">
        <v>366</v>
      </c>
      <c r="G47" s="32"/>
      <c r="H47" s="27" t="s">
        <v>2533</v>
      </c>
      <c r="I47" s="27">
        <v>-1</v>
      </c>
      <c r="J47" s="27">
        <v>-1</v>
      </c>
      <c r="K47" s="27">
        <v>0</v>
      </c>
      <c r="L47" s="27">
        <v>-4</v>
      </c>
      <c r="M47" s="27" t="s">
        <v>2534</v>
      </c>
      <c r="N47" s="27" t="s">
        <v>2526</v>
      </c>
    </row>
    <row r="48" spans="1:14" ht="15" customHeight="1" x14ac:dyDescent="0.35">
      <c r="A48" s="19" t="s">
        <v>2557</v>
      </c>
      <c r="B48" s="19" t="s">
        <v>347</v>
      </c>
      <c r="C48" s="19" t="s">
        <v>72</v>
      </c>
      <c r="D48" s="20" t="s">
        <v>145</v>
      </c>
      <c r="E48" s="20" t="s">
        <v>450</v>
      </c>
      <c r="F48" s="20" t="s">
        <v>360</v>
      </c>
      <c r="G48" s="24"/>
      <c r="H48" s="19" t="s">
        <v>2522</v>
      </c>
      <c r="I48" s="19">
        <v>1</v>
      </c>
      <c r="J48" s="19">
        <v>0</v>
      </c>
      <c r="K48" s="19">
        <v>0</v>
      </c>
      <c r="L48" s="19">
        <v>3</v>
      </c>
      <c r="M48" s="19" t="s">
        <v>2523</v>
      </c>
      <c r="N48" s="19" t="s">
        <v>2526</v>
      </c>
    </row>
    <row r="49" spans="1:14" ht="15" customHeight="1" x14ac:dyDescent="0.35">
      <c r="A49" s="27" t="s">
        <v>2557</v>
      </c>
      <c r="B49" s="27" t="s">
        <v>347</v>
      </c>
      <c r="C49" s="27" t="s">
        <v>72</v>
      </c>
      <c r="D49" s="28" t="s">
        <v>145</v>
      </c>
      <c r="E49" s="28" t="s">
        <v>456</v>
      </c>
      <c r="F49" s="28" t="s">
        <v>351</v>
      </c>
      <c r="G49" s="32"/>
      <c r="H49" s="27" t="s">
        <v>2522</v>
      </c>
      <c r="I49" s="27">
        <v>1</v>
      </c>
      <c r="J49" s="27">
        <v>1</v>
      </c>
      <c r="K49" s="27">
        <v>0</v>
      </c>
      <c r="L49" s="27">
        <v>4</v>
      </c>
      <c r="M49" s="27" t="s">
        <v>2523</v>
      </c>
      <c r="N49" s="27" t="s">
        <v>2519</v>
      </c>
    </row>
    <row r="50" spans="1:14" ht="15" customHeight="1" x14ac:dyDescent="0.35">
      <c r="A50" s="19" t="s">
        <v>2557</v>
      </c>
      <c r="B50" s="19" t="s">
        <v>347</v>
      </c>
      <c r="C50" s="19" t="s">
        <v>348</v>
      </c>
      <c r="D50" s="20" t="s">
        <v>145</v>
      </c>
      <c r="E50" s="20" t="s">
        <v>1950</v>
      </c>
      <c r="F50" s="20" t="s">
        <v>400</v>
      </c>
      <c r="G50" s="24"/>
      <c r="H50" s="19" t="s">
        <v>2533</v>
      </c>
      <c r="I50" s="19">
        <v>-1</v>
      </c>
      <c r="J50" s="19">
        <v>-1</v>
      </c>
      <c r="K50" s="19">
        <v>0</v>
      </c>
      <c r="L50" s="19">
        <v>-4</v>
      </c>
      <c r="M50" s="19" t="s">
        <v>2534</v>
      </c>
      <c r="N50" s="19" t="s">
        <v>2519</v>
      </c>
    </row>
    <row r="51" spans="1:14" ht="23.9" customHeight="1" x14ac:dyDescent="0.35">
      <c r="A51" s="27" t="s">
        <v>2557</v>
      </c>
      <c r="B51" s="27" t="s">
        <v>347</v>
      </c>
      <c r="C51" s="27" t="s">
        <v>72</v>
      </c>
      <c r="D51" s="28" t="s">
        <v>258</v>
      </c>
      <c r="E51" s="28" t="s">
        <v>467</v>
      </c>
      <c r="F51" s="28" t="s">
        <v>400</v>
      </c>
      <c r="G51" s="32"/>
      <c r="H51" s="27" t="s">
        <v>2522</v>
      </c>
      <c r="I51" s="27">
        <v>-1</v>
      </c>
      <c r="J51" s="27">
        <v>0</v>
      </c>
      <c r="K51" s="27">
        <v>-1</v>
      </c>
      <c r="L51" s="27">
        <v>-2</v>
      </c>
      <c r="M51" s="27" t="s">
        <v>2534</v>
      </c>
      <c r="N51" s="27" t="s">
        <v>2519</v>
      </c>
    </row>
    <row r="52" spans="1:14" ht="23.9" customHeight="1" x14ac:dyDescent="0.35">
      <c r="A52" s="19" t="s">
        <v>2557</v>
      </c>
      <c r="B52" s="19" t="s">
        <v>347</v>
      </c>
      <c r="C52" s="19" t="s">
        <v>348</v>
      </c>
      <c r="D52" s="20" t="s">
        <v>258</v>
      </c>
      <c r="E52" s="20" t="s">
        <v>2452</v>
      </c>
      <c r="F52" s="20" t="s">
        <v>400</v>
      </c>
      <c r="G52" s="24"/>
      <c r="H52" s="19" t="s">
        <v>2522</v>
      </c>
      <c r="I52" s="19">
        <v>-1</v>
      </c>
      <c r="J52" s="19">
        <v>1</v>
      </c>
      <c r="K52" s="19">
        <v>-1</v>
      </c>
      <c r="L52" s="19">
        <v>-1</v>
      </c>
      <c r="M52" s="19" t="s">
        <v>2534</v>
      </c>
      <c r="N52" s="19" t="s">
        <v>2519</v>
      </c>
    </row>
    <row r="53" spans="1:14" ht="15" customHeight="1" x14ac:dyDescent="0.35">
      <c r="A53" s="27" t="s">
        <v>2557</v>
      </c>
      <c r="B53" s="27" t="s">
        <v>347</v>
      </c>
      <c r="C53" s="27" t="s">
        <v>348</v>
      </c>
      <c r="D53" s="28" t="s">
        <v>107</v>
      </c>
      <c r="E53" s="28" t="s">
        <v>479</v>
      </c>
      <c r="F53" s="28" t="s">
        <v>400</v>
      </c>
      <c r="G53" s="32"/>
      <c r="H53" s="27" t="s">
        <v>2533</v>
      </c>
      <c r="I53" s="27">
        <v>-1</v>
      </c>
      <c r="J53" s="27">
        <v>1</v>
      </c>
      <c r="K53" s="27">
        <v>0</v>
      </c>
      <c r="L53" s="27">
        <v>-2</v>
      </c>
      <c r="M53" s="27" t="s">
        <v>2534</v>
      </c>
      <c r="N53" s="27" t="s">
        <v>2519</v>
      </c>
    </row>
    <row r="54" spans="1:14" ht="15" customHeight="1" x14ac:dyDescent="0.35">
      <c r="A54" s="19" t="s">
        <v>2557</v>
      </c>
      <c r="B54" s="19" t="s">
        <v>347</v>
      </c>
      <c r="C54" s="19" t="s">
        <v>348</v>
      </c>
      <c r="D54" s="20" t="s">
        <v>107</v>
      </c>
      <c r="E54" s="20" t="s">
        <v>486</v>
      </c>
      <c r="F54" s="20" t="s">
        <v>400</v>
      </c>
      <c r="G54" s="24"/>
      <c r="H54" s="19" t="s">
        <v>2533</v>
      </c>
      <c r="I54" s="19">
        <v>-1</v>
      </c>
      <c r="J54" s="19">
        <v>0</v>
      </c>
      <c r="K54" s="19">
        <v>0</v>
      </c>
      <c r="L54" s="19">
        <v>-3</v>
      </c>
      <c r="M54" s="19" t="s">
        <v>2534</v>
      </c>
      <c r="N54" s="19" t="s">
        <v>2519</v>
      </c>
    </row>
    <row r="55" spans="1:14" ht="15" customHeight="1" x14ac:dyDescent="0.35">
      <c r="A55" s="27" t="s">
        <v>2557</v>
      </c>
      <c r="B55" s="27" t="s">
        <v>347</v>
      </c>
      <c r="C55" s="27" t="s">
        <v>348</v>
      </c>
      <c r="D55" s="28" t="s">
        <v>107</v>
      </c>
      <c r="E55" s="28" t="s">
        <v>491</v>
      </c>
      <c r="F55" s="28" t="s">
        <v>351</v>
      </c>
      <c r="G55" s="32"/>
      <c r="H55" s="27" t="s">
        <v>2522</v>
      </c>
      <c r="I55" s="27">
        <v>-1</v>
      </c>
      <c r="J55" s="27">
        <v>0</v>
      </c>
      <c r="K55" s="27">
        <v>0</v>
      </c>
      <c r="L55" s="27">
        <v>-1</v>
      </c>
      <c r="M55" s="27" t="s">
        <v>2534</v>
      </c>
      <c r="N55" s="27" t="s">
        <v>2526</v>
      </c>
    </row>
    <row r="56" spans="1:14" ht="15" customHeight="1" x14ac:dyDescent="0.35">
      <c r="A56" s="19" t="s">
        <v>2557</v>
      </c>
      <c r="B56" s="19" t="s">
        <v>347</v>
      </c>
      <c r="C56" s="19" t="s">
        <v>72</v>
      </c>
      <c r="D56" s="20" t="s">
        <v>313</v>
      </c>
      <c r="E56" s="20" t="s">
        <v>495</v>
      </c>
      <c r="F56" s="20" t="s">
        <v>366</v>
      </c>
      <c r="G56" s="24"/>
      <c r="H56" s="19" t="s">
        <v>2522</v>
      </c>
      <c r="I56" s="19">
        <v>1</v>
      </c>
      <c r="J56" s="19">
        <v>0</v>
      </c>
      <c r="K56" s="19">
        <v>0</v>
      </c>
      <c r="L56" s="19">
        <v>3</v>
      </c>
      <c r="M56" s="19" t="s">
        <v>2523</v>
      </c>
      <c r="N56" s="19" t="s">
        <v>2519</v>
      </c>
    </row>
    <row r="57" spans="1:14" ht="15" customHeight="1" x14ac:dyDescent="0.35">
      <c r="A57" s="27" t="s">
        <v>2557</v>
      </c>
      <c r="B57" s="27" t="s">
        <v>347</v>
      </c>
      <c r="C57" s="27" t="s">
        <v>72</v>
      </c>
      <c r="D57" s="28" t="s">
        <v>313</v>
      </c>
      <c r="E57" s="28" t="s">
        <v>501</v>
      </c>
      <c r="F57" s="28" t="s">
        <v>351</v>
      </c>
      <c r="G57" s="32"/>
      <c r="H57" s="27" t="s">
        <v>2522</v>
      </c>
      <c r="I57" s="27">
        <v>1</v>
      </c>
      <c r="J57" s="27">
        <v>0</v>
      </c>
      <c r="K57" s="27">
        <v>0</v>
      </c>
      <c r="L57" s="27">
        <v>3</v>
      </c>
      <c r="M57" s="27" t="s">
        <v>2523</v>
      </c>
      <c r="N57" s="27" t="s">
        <v>2519</v>
      </c>
    </row>
    <row r="58" spans="1:14" ht="15" customHeight="1" x14ac:dyDescent="0.35">
      <c r="A58" s="19" t="s">
        <v>2557</v>
      </c>
      <c r="B58" s="19" t="s">
        <v>347</v>
      </c>
      <c r="C58" s="19" t="s">
        <v>72</v>
      </c>
      <c r="D58" s="20" t="s">
        <v>313</v>
      </c>
      <c r="E58" s="20" t="s">
        <v>2464</v>
      </c>
      <c r="F58" s="20" t="s">
        <v>360</v>
      </c>
      <c r="G58" s="24"/>
      <c r="H58" s="19" t="s">
        <v>2533</v>
      </c>
      <c r="I58" s="19">
        <v>-1</v>
      </c>
      <c r="J58" s="19">
        <v>-1</v>
      </c>
      <c r="K58" s="19">
        <v>0</v>
      </c>
      <c r="L58" s="19">
        <v>-4</v>
      </c>
      <c r="M58" s="19" t="s">
        <v>2534</v>
      </c>
      <c r="N58" s="19" t="s">
        <v>2519</v>
      </c>
    </row>
    <row r="59" spans="1:14" ht="15" customHeight="1" x14ac:dyDescent="0.35">
      <c r="A59" s="27" t="s">
        <v>2557</v>
      </c>
      <c r="B59" s="27" t="s">
        <v>347</v>
      </c>
      <c r="C59" s="27" t="s">
        <v>72</v>
      </c>
      <c r="D59" s="28" t="s">
        <v>304</v>
      </c>
      <c r="E59" s="28" t="s">
        <v>512</v>
      </c>
      <c r="F59" s="28" t="s">
        <v>378</v>
      </c>
      <c r="G59" s="32"/>
      <c r="H59" s="27" t="s">
        <v>2533</v>
      </c>
      <c r="I59" s="27">
        <v>-1</v>
      </c>
      <c r="J59" s="27">
        <v>-1</v>
      </c>
      <c r="K59" s="27">
        <v>0</v>
      </c>
      <c r="L59" s="27">
        <v>-4</v>
      </c>
      <c r="M59" s="27" t="s">
        <v>2534</v>
      </c>
      <c r="N59" s="27" t="s">
        <v>2558</v>
      </c>
    </row>
    <row r="60" spans="1:14" ht="35" customHeight="1" x14ac:dyDescent="0.35">
      <c r="A60" s="19" t="s">
        <v>2557</v>
      </c>
      <c r="B60" s="19" t="s">
        <v>347</v>
      </c>
      <c r="C60" s="19" t="s">
        <v>72</v>
      </c>
      <c r="D60" s="20" t="s">
        <v>321</v>
      </c>
      <c r="E60" s="20" t="s">
        <v>518</v>
      </c>
      <c r="F60" s="20" t="s">
        <v>400</v>
      </c>
      <c r="G60" s="24"/>
      <c r="H60" s="19" t="s">
        <v>2533</v>
      </c>
      <c r="I60" s="19">
        <v>-1</v>
      </c>
      <c r="J60" s="19">
        <v>-1</v>
      </c>
      <c r="K60" s="19">
        <v>0</v>
      </c>
      <c r="L60" s="19">
        <v>-4</v>
      </c>
      <c r="M60" s="19" t="s">
        <v>2534</v>
      </c>
      <c r="N60" s="19" t="s">
        <v>2519</v>
      </c>
    </row>
    <row r="61" spans="1:14" ht="35" customHeight="1" x14ac:dyDescent="0.35">
      <c r="A61" s="27" t="s">
        <v>2557</v>
      </c>
      <c r="B61" s="27" t="s">
        <v>347</v>
      </c>
      <c r="C61" s="27" t="s">
        <v>72</v>
      </c>
      <c r="D61" s="28" t="s">
        <v>321</v>
      </c>
      <c r="E61" s="28" t="s">
        <v>1939</v>
      </c>
      <c r="F61" s="28" t="s">
        <v>400</v>
      </c>
      <c r="G61" s="32"/>
      <c r="H61" s="27" t="s">
        <v>2533</v>
      </c>
      <c r="I61" s="27">
        <v>-1</v>
      </c>
      <c r="J61" s="27">
        <v>-1</v>
      </c>
      <c r="K61" s="27">
        <v>0</v>
      </c>
      <c r="L61" s="27">
        <v>-4</v>
      </c>
      <c r="M61" s="27" t="s">
        <v>2534</v>
      </c>
      <c r="N61" s="27" t="s">
        <v>2519</v>
      </c>
    </row>
  </sheetData>
  <autoFilter ref="A1:N61" xr:uid="{00000000-0009-0000-0000-00000C00000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README</vt:lpstr>
      <vt:lpstr>Tab_A_Buy</vt:lpstr>
      <vt:lpstr>Tab_B_Build</vt:lpstr>
      <vt:lpstr>Vocabulary</vt:lpstr>
      <vt:lpstr>Assumptions</vt:lpstr>
      <vt:lpstr>Build_Model</vt:lpstr>
      <vt:lpstr>Sensitivity</vt:lpstr>
      <vt:lpstr>Source_Log</vt:lpstr>
      <vt:lpstr>Conflicts</vt:lpstr>
      <vt:lpstr>Claims_Log</vt:lpstr>
      <vt:lpstr>AR_Mentions</vt:lpstr>
      <vt:lpstr>Base_Rates</vt:lpstr>
      <vt:lpstr>Framework_Scores</vt:lpstr>
      <vt:lpstr>AR_Mentions!Print_Titles</vt:lpstr>
      <vt:lpstr>Assumptions!Print_Titles</vt:lpstr>
      <vt:lpstr>Base_Rates!Print_Titles</vt:lpstr>
      <vt:lpstr>Claims_Log!Print_Titles</vt:lpstr>
      <vt:lpstr>Framework_Scores!Print_Titles</vt:lpstr>
      <vt:lpstr>Source_Log!Print_Titles</vt:lpstr>
      <vt:lpstr>Tab_A_Buy!Print_Titles</vt:lpstr>
      <vt:lpstr>Tab_B_Build!Print_Titles</vt:lpstr>
      <vt:lpstr>Vocabulary!Print_Titles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0</cp:revision>
  <dcterms:created xsi:type="dcterms:W3CDTF">2026-10-10T13:40:21Z</dcterms:created>
  <dcterms:modified xsi:type="dcterms:W3CDTF">2026-10-11T15:01:54Z</dcterms:modified>
  <dc:language>en-US</dc:language>
  <dc:creator>Priyanshi Paul</dc:creator>
  <dc:title>Build vs Buy: Indian Consumer Brands</dc:title>
  <cp:lastModifiedBy/>
</cp:coreProperties>
</file>